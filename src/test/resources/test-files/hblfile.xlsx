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Reports\POS_Email\"/>
    </mc:Choice>
  </mc:AlternateContent>
  <bookViews>
    <workbookView xWindow="-60" yWindow="-60" windowWidth="15480" windowHeight="11640" tabRatio="891"/>
  </bookViews>
  <sheets>
    <sheet name="Contents Detail" sheetId="9" r:id="rId1"/>
    <sheet name="Transaction Data" sheetId="1" r:id="rId2"/>
    <sheet name="Code" sheetId="2" state="hidden" r:id="rId3"/>
    <sheet name="Merchant Number" sheetId="5" r:id="rId4"/>
    <sheet name="Terminal Number" sheetId="6" r:id="rId5"/>
    <sheet name="Dedbit-Credit" sheetId="7" r:id="rId6"/>
    <sheet name="Transaction" sheetId="8" r:id="rId7"/>
  </sheets>
  <definedNames>
    <definedName name="Query_from_POS" localSheetId="1" hidden="1">'Transaction Data'!$A$3:$U$26</definedName>
    <definedName name="Query_from_POSEMail1" localSheetId="1" hidden="1">'Transaction Data'!#REF!</definedName>
  </definedNames>
  <calcPr calcId="152511"/>
  <pivotCaches>
    <pivotCache cacheId="3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  <c r="A1" i="8" l="1"/>
  <c r="A1" i="7"/>
  <c r="A1" i="6"/>
  <c r="A1" i="5"/>
</calcChain>
</file>

<file path=xl/connections.xml><?xml version="1.0" encoding="utf-8"?>
<connections xmlns="http://schemas.openxmlformats.org/spreadsheetml/2006/main">
  <connection id="1" name="Query from POS" type="1" refreshedVersion="5" saveData="1">
    <dbPr connection="DRIVER=SQL Server;SERVER=.;UID=islahuldin.rana;Trusted_Connection=Yes;APP=Microsoft Office 2010;WSID=PKLHRCS05W0744" command="Select ProcessDate as 'Settlement Date',_x000d__x000a_MerchantNumber as 'Merchant ID',_x000d__x000a_MerchantName as 'Merchant Name',_x000d__x000a_TerminalID as 'Terminal ID',_x000d__x000a_CardNumber as 'Card Number',_x000d__x000a_TransactionDate as 'Transaction Date',_x000d__x000a_TransactionTime as 'Transaction Time',_x000d__x000a_DC as 'Debit/Credit',_x000d__x000a_TransactionAmount as 'Transaction Amount',_x000d__x000a_DiscountFixed as 'Discount Fixed',_x000d__x000a_DiscountPercentAmount as 'Discount Amount',_x000d__x000a_TotalDiscountAmount as 'Total Discount Amount',_x000d__x000a_FED as 'FED Amount',_x000d__x000a_NetAmount as 'Net Amount',_x000d__x000a_BatchNumber as 'Batch Number',_x000d__x000a_ApprovalCode as 'Approval Code',_x000d__x000a_CardType as 'Card Type',_x000d__x000a_IPGRequestId as 'Request Id',_x000d__x000a_Address as 'Address ',_x000d__x000a_Category as 'Category ',_x000d__x000a_CategoryInfo as 'Category Info',_x000d__x000a_GroupName as 'Group Name'_x000d__x000a_from POS.dbo.POS_Daily_V_x000d__x000a_where SrNo = ?_x000d__x000a_and ProductType=?_x000d__x000a_--where company='DHA Karachi'"/>
    <parameters count="2">
      <parameter name="Parameter1" parameterType="cell" cell="Code!$A$1"/>
      <parameter name="Parameter2" parameterType="cell" cell="Code!$A$3"/>
    </parameters>
  </connection>
</connections>
</file>

<file path=xl/sharedStrings.xml><?xml version="1.0" encoding="utf-8"?>
<sst xmlns="http://schemas.openxmlformats.org/spreadsheetml/2006/main" count="341" uniqueCount="140">
  <si>
    <t>* Kindly click on the report name to view the detail</t>
  </si>
  <si>
    <t>Menu</t>
  </si>
  <si>
    <t>Sr No</t>
  </si>
  <si>
    <t>Report Name</t>
  </si>
  <si>
    <t>Transaction Data</t>
  </si>
  <si>
    <t>Merchant Number Wise Summary</t>
  </si>
  <si>
    <t>Merchant Number and Terminal Wise Summary</t>
  </si>
  <si>
    <t>Debit / Credit Summary</t>
  </si>
  <si>
    <t>Transaction Dates of Settlement</t>
  </si>
  <si>
    <t>Main Menu</t>
  </si>
  <si>
    <t>Settlement Date</t>
  </si>
  <si>
    <t>Merchant ID</t>
  </si>
  <si>
    <t>Terminal ID</t>
  </si>
  <si>
    <t>Merchant Name</t>
  </si>
  <si>
    <t>Card Type</t>
  </si>
  <si>
    <t>Card Number</t>
  </si>
  <si>
    <t>Transaction Date</t>
  </si>
  <si>
    <t>Transaction Time</t>
  </si>
  <si>
    <t>Approval Code</t>
  </si>
  <si>
    <t>Batch Number</t>
  </si>
  <si>
    <t>Transaction Amount</t>
  </si>
  <si>
    <t>Discount Amount</t>
  </si>
  <si>
    <t>Discount Fixed</t>
  </si>
  <si>
    <t>FED Amount</t>
  </si>
  <si>
    <t>Debit/Credit</t>
  </si>
  <si>
    <t>Net Amount</t>
  </si>
  <si>
    <t xml:space="preserve">Address </t>
  </si>
  <si>
    <t xml:space="preserve">Category </t>
  </si>
  <si>
    <t>Category Info</t>
  </si>
  <si>
    <t>IPG</t>
  </si>
  <si>
    <t>Values</t>
  </si>
  <si>
    <t>Number of Transaction</t>
  </si>
  <si>
    <t xml:space="preserve">FED Amount </t>
  </si>
  <si>
    <t xml:space="preserve">Discount Amount </t>
  </si>
  <si>
    <t>Grand Total</t>
  </si>
  <si>
    <t>Request Id</t>
  </si>
  <si>
    <t>Group Name</t>
  </si>
  <si>
    <t>Merchant Number</t>
  </si>
  <si>
    <t>CAREEM_NETWORK_PAKIS</t>
  </si>
  <si>
    <t>558600001326800</t>
  </si>
  <si>
    <t>CAREEM NETWORK PAKIS</t>
  </si>
  <si>
    <t>MDE</t>
  </si>
  <si>
    <t>C</t>
  </si>
  <si>
    <t>VSL</t>
  </si>
  <si>
    <t>al tijarah center 12th floor shahra e faisal road karachi</t>
  </si>
  <si>
    <t>MCD</t>
  </si>
  <si>
    <t>MCL</t>
  </si>
  <si>
    <t>VSA</t>
  </si>
  <si>
    <t>559049******4445</t>
  </si>
  <si>
    <t>460031******8025</t>
  </si>
  <si>
    <t>11:19:00</t>
  </si>
  <si>
    <t>086269</t>
  </si>
  <si>
    <t>7585399746346770404097</t>
  </si>
  <si>
    <t>559049******1524</t>
  </si>
  <si>
    <t>13:30:00</t>
  </si>
  <si>
    <t>TCX18Y</t>
  </si>
  <si>
    <t>7585478239556134804086</t>
  </si>
  <si>
    <t>490288******4115</t>
  </si>
  <si>
    <t>13:34:00</t>
  </si>
  <si>
    <t>089497</t>
  </si>
  <si>
    <t>LCL</t>
  </si>
  <si>
    <t>7585480907816168704731</t>
  </si>
  <si>
    <t>493465******2511</t>
  </si>
  <si>
    <t>14:06:00</t>
  </si>
  <si>
    <t>862746</t>
  </si>
  <si>
    <t>7585499837176836004715</t>
  </si>
  <si>
    <t>540375******9198</t>
  </si>
  <si>
    <t>14:18:00</t>
  </si>
  <si>
    <t>231485</t>
  </si>
  <si>
    <t>7585506942286973904276</t>
  </si>
  <si>
    <t>531199******9891</t>
  </si>
  <si>
    <t>14:25:00</t>
  </si>
  <si>
    <t>462063</t>
  </si>
  <si>
    <t>7585511340816662204066</t>
  </si>
  <si>
    <t>428273******8255</t>
  </si>
  <si>
    <t>14:49:00</t>
  </si>
  <si>
    <t>149427</t>
  </si>
  <si>
    <t>7585525840136002104094</t>
  </si>
  <si>
    <t>420251******8173</t>
  </si>
  <si>
    <t>15:04:00</t>
  </si>
  <si>
    <t>722500</t>
  </si>
  <si>
    <t>7585534515276802404086</t>
  </si>
  <si>
    <t>489022******8213</t>
  </si>
  <si>
    <t>15:05:00</t>
  </si>
  <si>
    <t>535452</t>
  </si>
  <si>
    <t>7585535468476726504293</t>
  </si>
  <si>
    <t>408565******0124</t>
  </si>
  <si>
    <t>15:33:00</t>
  </si>
  <si>
    <t>455753</t>
  </si>
  <si>
    <t>7585551923706305604086</t>
  </si>
  <si>
    <t>15:45:00</t>
  </si>
  <si>
    <t>463208</t>
  </si>
  <si>
    <t>7585559578276447704064</t>
  </si>
  <si>
    <t>16:19:00</t>
  </si>
  <si>
    <t>C1NBD9</t>
  </si>
  <si>
    <t>7585579529216029504064</t>
  </si>
  <si>
    <t>524521******8552</t>
  </si>
  <si>
    <t>16:32:00</t>
  </si>
  <si>
    <t>335676</t>
  </si>
  <si>
    <t>7585587428136543404714</t>
  </si>
  <si>
    <t>480666******9563</t>
  </si>
  <si>
    <t>18:52:00</t>
  </si>
  <si>
    <t>640400</t>
  </si>
  <si>
    <t>7585671380506110204075</t>
  </si>
  <si>
    <t>467744******8848</t>
  </si>
  <si>
    <t>20:22:00</t>
  </si>
  <si>
    <t>892832</t>
  </si>
  <si>
    <t>7585725206716451504272</t>
  </si>
  <si>
    <t>524243******6755</t>
  </si>
  <si>
    <t>04:09:00</t>
  </si>
  <si>
    <t>T63845</t>
  </si>
  <si>
    <t>7586005912036479704080</t>
  </si>
  <si>
    <t>484783******3775</t>
  </si>
  <si>
    <t>04:57:00</t>
  </si>
  <si>
    <t>100439</t>
  </si>
  <si>
    <t>7586034199746318304066</t>
  </si>
  <si>
    <t>441358******8231</t>
  </si>
  <si>
    <t>05:13:00</t>
  </si>
  <si>
    <t>394128</t>
  </si>
  <si>
    <t>7586043968806827804729</t>
  </si>
  <si>
    <t>517524******8308</t>
  </si>
  <si>
    <t>05:33:00</t>
  </si>
  <si>
    <t>T70138</t>
  </si>
  <si>
    <t>7586055904026924604292</t>
  </si>
  <si>
    <t>418792******0194</t>
  </si>
  <si>
    <t>06:01:00</t>
  </si>
  <si>
    <t>985522</t>
  </si>
  <si>
    <t>7586072932116615904717</t>
  </si>
  <si>
    <t>555411******3475</t>
  </si>
  <si>
    <t>06:20:00</t>
  </si>
  <si>
    <t>548612</t>
  </si>
  <si>
    <t>7586084425256034804070</t>
  </si>
  <si>
    <t>428226******9191</t>
  </si>
  <si>
    <t>07:17:00</t>
  </si>
  <si>
    <t>042835</t>
  </si>
  <si>
    <t>7586118497076208903071</t>
  </si>
  <si>
    <t>557572******4504</t>
  </si>
  <si>
    <t>08:47:00</t>
  </si>
  <si>
    <t>593550</t>
  </si>
  <si>
    <t>7586172458456025004713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</si>
</sst>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45">
    <border>
      <left/>
      <right/>
      <top/>
      <bottom/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rgb="FF008080"/>
      </left>
      <right/>
      <top/>
      <bottom/>
      <diagonal/>
    </border>
    <border>
      <left/>
      <right/>
      <top style="thin">
        <color rgb="FF008080"/>
      </top>
      <bottom/>
      <diagonal/>
    </border>
    <border>
      <left/>
      <right style="thin">
        <color rgb="FF008080"/>
      </right>
      <top/>
      <bottom/>
      <diagonal/>
    </border>
    <border>
      <left/>
      <right/>
      <top/>
      <bottom style="thin">
        <color rgb="FF008080"/>
      </bottom>
      <diagonal/>
    </border>
    <border>
      <left/>
      <right style="thin">
        <color rgb="FF008080"/>
      </right>
      <top/>
      <bottom style="thin">
        <color rgb="FF008080"/>
      </bottom>
      <diagonal/>
    </border>
    <border>
      <left/>
      <right style="medium">
        <color theme="6"/>
      </right>
      <top style="thin">
        <color rgb="FF008080"/>
      </top>
      <bottom/>
      <diagonal/>
    </border>
    <border>
      <left style="medium">
        <color theme="6"/>
      </left>
      <right style="medium">
        <color theme="6"/>
      </right>
      <top style="thin">
        <color rgb="FF008080"/>
      </top>
      <bottom/>
      <diagonal/>
    </border>
    <border>
      <left style="medium">
        <color theme="6"/>
      </left>
      <right/>
      <top style="thin">
        <color rgb="FF008080"/>
      </top>
      <bottom/>
      <diagonal/>
    </border>
    <border>
      <left style="thin">
        <color rgb="FF008080"/>
      </left>
      <right/>
      <top/>
      <bottom style="thin">
        <color rgb="FF008080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  <border>
      <left/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/>
      <top style="thin">
        <color rgb="FF008080"/>
      </top>
      <bottom style="thin">
        <color rgb="FF008080"/>
      </bottom>
      <diagonal/>
    </border>
    <border>
      <left/>
      <right style="thin">
        <color rgb="FF008080"/>
      </right>
      <top style="thin">
        <color rgb="FF008080"/>
      </top>
      <bottom style="thin">
        <color rgb="FF008080"/>
      </bottom>
      <diagonal/>
    </border>
    <border>
      <left/>
      <right style="medium">
        <color theme="6"/>
      </right>
      <top style="thin">
        <color rgb="FF008080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thin">
        <color rgb="FF008080"/>
      </top>
      <bottom style="medium">
        <color theme="6"/>
      </bottom>
      <diagonal/>
    </border>
    <border>
      <left style="medium">
        <color theme="6"/>
      </left>
      <right/>
      <top style="thin">
        <color rgb="FF008080"/>
      </top>
      <bottom style="medium">
        <color theme="6"/>
      </bottom>
      <diagonal/>
    </border>
    <border>
      <left/>
      <right/>
      <top style="thin">
        <color rgb="FF008080"/>
      </top>
      <bottom style="medium">
        <color theme="6"/>
      </bottom>
      <diagonal/>
    </border>
    <border>
      <left style="thin">
        <color rgb="FF008080"/>
      </left>
      <right/>
      <top style="thin">
        <color rgb="FF008080"/>
      </top>
      <bottom/>
      <diagonal/>
    </border>
    <border>
      <left style="thin">
        <color rgb="FF008080"/>
      </left>
      <right style="thin">
        <color rgb="FF008080"/>
      </right>
      <top/>
      <bottom style="thin">
        <color rgb="FF008080"/>
      </bottom>
      <diagonal/>
    </border>
    <border>
      <left/>
      <right/>
      <top style="thin">
        <color rgb="FF008080"/>
      </top>
      <bottom style="thin">
        <color rgb="FF008080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 style="thin">
        <color rgb="FF008080"/>
      </left>
      <right style="thin">
        <color rgb="FF008080"/>
      </right>
      <top/>
      <bottom/>
      <diagonal/>
    </border>
    <border>
      <left style="medium">
        <color rgb="FF008080"/>
      </left>
      <right/>
      <top style="medium">
        <color rgb="FF008080"/>
      </top>
      <bottom/>
      <diagonal/>
    </border>
    <border>
      <left/>
      <right style="medium">
        <color rgb="FF008080"/>
      </right>
      <top style="medium">
        <color rgb="FF008080"/>
      </top>
      <bottom/>
      <diagonal/>
    </border>
    <border>
      <left style="medium">
        <color rgb="FF008080"/>
      </left>
      <right/>
      <top/>
      <bottom/>
      <diagonal/>
    </border>
    <border>
      <left/>
      <right style="medium">
        <color rgb="FF008080"/>
      </right>
      <top/>
      <bottom/>
      <diagonal/>
    </border>
    <border>
      <left style="medium">
        <color rgb="FF008080"/>
      </left>
      <right/>
      <top/>
      <bottom style="medium">
        <color rgb="FF008080"/>
      </bottom>
      <diagonal/>
    </border>
    <border>
      <left/>
      <right style="medium">
        <color rgb="FF008080"/>
      </right>
      <top/>
      <bottom style="medium">
        <color rgb="FF008080"/>
      </bottom>
      <diagonal/>
    </border>
    <border>
      <left style="medium">
        <color rgb="FF006666"/>
      </left>
      <right/>
      <top style="medium">
        <color rgb="FF006666"/>
      </top>
      <bottom/>
      <diagonal/>
    </border>
    <border>
      <left/>
      <right/>
      <top style="medium">
        <color rgb="FF006666"/>
      </top>
      <bottom/>
      <diagonal/>
    </border>
    <border>
      <left/>
      <right style="medium">
        <color rgb="FF006666"/>
      </right>
      <top style="medium">
        <color rgb="FF006666"/>
      </top>
      <bottom/>
      <diagonal/>
    </border>
    <border>
      <left style="medium">
        <color rgb="FF006666"/>
      </left>
      <right/>
      <top/>
      <bottom/>
      <diagonal/>
    </border>
    <border>
      <left/>
      <right style="medium">
        <color rgb="FF006666"/>
      </right>
      <top/>
      <bottom/>
      <diagonal/>
    </border>
    <border>
      <left style="medium">
        <color rgb="FF006666"/>
      </left>
      <right/>
      <top/>
      <bottom style="medium">
        <color rgb="FF006666"/>
      </bottom>
      <diagonal/>
    </border>
    <border>
      <left/>
      <right/>
      <top/>
      <bottom style="medium">
        <color rgb="FF006666"/>
      </bottom>
      <diagonal/>
    </border>
    <border>
      <left/>
      <right style="medium">
        <color rgb="FF006666"/>
      </right>
      <top/>
      <bottom style="medium">
        <color rgb="FF006666"/>
      </bottom>
      <diagonal/>
    </border>
    <border>
      <left style="medium">
        <color theme="6"/>
      </left>
      <right style="thin">
        <color rgb="FF008080"/>
      </right>
      <top style="medium">
        <color theme="6"/>
      </top>
      <bottom style="medium">
        <color theme="6"/>
      </bottom>
      <diagonal/>
    </border>
    <border>
      <left style="thin">
        <color rgb="FF008080"/>
      </left>
      <right style="thin">
        <color rgb="FF008080"/>
      </right>
      <top style="medium">
        <color theme="6"/>
      </top>
      <bottom style="medium">
        <color theme="6"/>
      </bottom>
      <diagonal/>
    </border>
    <border>
      <left style="thin">
        <color rgb="FF008080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1" fillId="2" borderId="1" xfId="0" applyFont="1" applyFill="1" applyBorder="1"/>
    <xf numFmtId="0" fontId="0" fillId="0" borderId="2" xfId="0" applyBorder="1"/>
    <xf numFmtId="22" fontId="0" fillId="0" borderId="2" xfId="0" applyNumberFormat="1" applyBorder="1"/>
    <xf numFmtId="0" fontId="1" fillId="2" borderId="3" xfId="0" applyFont="1" applyFill="1" applyBorder="1"/>
    <xf numFmtId="0" fontId="0" fillId="0" borderId="4" xfId="0" applyBorder="1"/>
    <xf numFmtId="0" fontId="1" fillId="2" borderId="5" xfId="0" applyFont="1" applyFill="1" applyBorder="1"/>
    <xf numFmtId="43" fontId="0" fillId="0" borderId="6" xfId="0" applyNumberFormat="1" applyBorder="1"/>
    <xf numFmtId="43" fontId="0" fillId="0" borderId="7" xfId="0" applyNumberFormat="1" applyBorder="1"/>
    <xf numFmtId="43" fontId="0" fillId="0" borderId="8" xfId="0" applyNumberForma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164" fontId="0" fillId="0" borderId="12" xfId="0" applyNumberFormat="1" applyBorder="1"/>
    <xf numFmtId="164" fontId="0" fillId="0" borderId="7" xfId="0" applyNumberFormat="1" applyBorder="1"/>
    <xf numFmtId="0" fontId="1" fillId="2" borderId="13" xfId="0" applyFont="1" applyFill="1" applyBorder="1"/>
    <xf numFmtId="43" fontId="0" fillId="0" borderId="5" xfId="0" applyNumberFormat="1" applyBorder="1"/>
    <xf numFmtId="43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0" fillId="0" borderId="0" xfId="0" pivotButton="1"/>
    <xf numFmtId="0" fontId="0" fillId="0" borderId="22" xfId="0" applyBorder="1"/>
    <xf numFmtId="0" fontId="5" fillId="0" borderId="0" xfId="0" applyFont="1" applyAlignment="1">
      <alignment horizontal="center" vertical="center"/>
    </xf>
    <xf numFmtId="0" fontId="1" fillId="2" borderId="0" xfId="0" applyFont="1" applyFill="1"/>
    <xf numFmtId="0" fontId="2" fillId="2" borderId="1" xfId="0" applyFont="1" applyFill="1" applyBorder="1"/>
    <xf numFmtId="0" fontId="0" fillId="0" borderId="23" xfId="0" applyBorder="1"/>
    <xf numFmtId="0" fontId="3" fillId="0" borderId="2" xfId="1" applyBorder="1"/>
    <xf numFmtId="0" fontId="3" fillId="0" borderId="2" xfId="1" applyFill="1" applyBorder="1"/>
    <xf numFmtId="0" fontId="3" fillId="0" borderId="22" xfId="1" applyBorder="1"/>
    <xf numFmtId="0" fontId="2" fillId="2" borderId="24" xfId="0" applyFont="1" applyFill="1" applyBorder="1"/>
    <xf numFmtId="165" fontId="0" fillId="0" borderId="21" xfId="0" applyNumberFormat="1" applyBorder="1"/>
    <xf numFmtId="165" fontId="0" fillId="0" borderId="12" xfId="0" applyNumberFormat="1" applyBorder="1"/>
    <xf numFmtId="165" fontId="0" fillId="0" borderId="7" xfId="0" applyNumberFormat="1" applyBorder="1"/>
    <xf numFmtId="0" fontId="3" fillId="0" borderId="0" xfId="1" quotePrefix="1" applyAlignment="1"/>
    <xf numFmtId="0" fontId="1" fillId="2" borderId="25" xfId="0" applyFont="1" applyFill="1" applyBorder="1"/>
    <xf numFmtId="0" fontId="4" fillId="0" borderId="2" xfId="0" applyFont="1" applyBorder="1"/>
    <xf numFmtId="0" fontId="0" fillId="0" borderId="26" xfId="0" applyBorder="1"/>
    <xf numFmtId="0" fontId="0" fillId="0" borderId="44" xfId="0" pivotButton="1" applyBorder="1"/>
    <xf numFmtId="0" fontId="0" fillId="0" borderId="22" xfId="0" applyBorder="1" applyAlignment="1">
      <alignment horizontal="left"/>
    </xf>
    <xf numFmtId="0" fontId="0" fillId="0" borderId="0" xfId="0" applyBorder="1"/>
    <xf numFmtId="165" fontId="0" fillId="0" borderId="0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5" xfId="0" applyNumberFormat="1" applyBorder="1"/>
    <xf numFmtId="0" fontId="0" fillId="0" borderId="14" xfId="0" applyNumberFormat="1" applyBorder="1"/>
    <xf numFmtId="0" fontId="1" fillId="2" borderId="0" xfId="0" applyFont="1" applyFill="1" applyBorder="1"/>
    <xf numFmtId="0" fontId="0" fillId="0" borderId="21" xfId="0" applyNumberFormat="1" applyBorder="1"/>
    <xf numFmtId="0" fontId="0" fillId="0" borderId="12" xfId="0" applyNumberFormat="1" applyBorder="1"/>
    <xf numFmtId="43" fontId="0" fillId="0" borderId="0" xfId="0" applyNumberFormat="1" applyBorder="1"/>
    <xf numFmtId="164" fontId="0" fillId="0" borderId="0" xfId="0" applyNumberFormat="1" applyBorder="1"/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0" borderId="0" xfId="1" quotePrefix="1" applyAlignment="1">
      <alignment horizont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22" fontId="0" fillId="0" borderId="44" xfId="0" applyNumberFormat="1" applyBorder="1"/>
    <xf numFmtId="0" fontId="0" fillId="0" borderId="44" xfId="0" applyBorder="1"/>
  </cellXfs>
  <cellStyles count="2">
    <cellStyle name="Hyperlink" xfId="1" builtinId="8"/>
    <cellStyle name="Normal" xfId="0" builtinId="0"/>
  </cellStyles>
  <dxfs count="183">
    <dxf>
      <border diagonalUp="0" diagonalDown="0">
        <left style="thin">
          <color rgb="FF008080"/>
        </left>
        <right style="thin">
          <color rgb="FF008080"/>
        </right>
        <top/>
        <bottom/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/>
        <bottom/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/>
        <bottom/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/>
        <bottom/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numFmt numFmtId="27" formatCode="m/d/yyyy\ h:mm"/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numFmt numFmtId="27" formatCode="m/d/yyyy\ h:mm"/>
      <border diagonalUp="0" diagonalDown="0"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  <vertical/>
        <horizontal/>
      </border>
    </dxf>
    <dxf>
      <font>
        <color theme="0"/>
      </font>
      <fill>
        <patternFill patternType="solid">
          <fgColor indexed="64"/>
          <bgColor rgb="FF009999"/>
        </patternFill>
      </fill>
    </dxf>
    <dxf>
      <numFmt numFmtId="165" formatCode="_(* #,##0_);_(* \(#,##0\);_(* &quot;-&quot;??_);_(@_)"/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left style="medium">
          <color theme="6"/>
        </left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numFmt numFmtId="164" formatCode="[$-409]d\-mmm\-yy;@"/>
    </dxf>
    <dxf>
      <numFmt numFmtId="164" formatCode="[$-409]d\-mmm\-yy;@"/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thin">
          <color rgb="FF009999"/>
        </left>
        <right style="thin">
          <color rgb="FF009999"/>
        </right>
        <top style="thin">
          <color rgb="FF009999"/>
        </top>
        <bottom style="thin">
          <color rgb="FF009999"/>
        </bottom>
      </border>
    </dxf>
    <dxf>
      <numFmt numFmtId="35" formatCode="_(* #,##0.00_);_(* \(#,##0.00\);_(* &quot;-&quot;??_);_(@_)"/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font>
        <color theme="0"/>
      </font>
      <fill>
        <patternFill patternType="solid">
          <fgColor indexed="64"/>
          <bgColor rgb="FF009999"/>
        </patternFill>
      </fill>
    </dxf>
    <dxf>
      <numFmt numFmtId="165" formatCode="_(* #,##0_);_(* \(#,##0\);_(* &quot;-&quot;??_);_(@_)"/>
    </dxf>
    <dxf>
      <border>
        <right style="medium">
          <color theme="6"/>
        </right>
      </border>
    </dxf>
    <dxf>
      <border>
        <right style="medium">
          <color theme="6"/>
        </right>
      </border>
    </dxf>
    <dxf>
      <border>
        <right style="medium">
          <color theme="6"/>
        </right>
      </border>
    </dxf>
    <dxf>
      <border>
        <right style="medium">
          <color theme="6"/>
        </right>
      </border>
    </dxf>
    <dxf>
      <border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left style="medium">
          <color theme="6"/>
        </left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left style="medium">
          <color theme="6"/>
        </left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9999"/>
        </patternFill>
      </fill>
    </dxf>
    <dxf>
      <fill>
        <patternFill patternType="solid">
          <bgColor rgb="FF009999"/>
        </patternFill>
      </fill>
    </dxf>
    <dxf>
      <fill>
        <patternFill patternType="solid">
          <bgColor rgb="FF009999"/>
        </patternFill>
      </fill>
    </dxf>
    <dxf>
      <border>
        <left style="medium">
          <color theme="6"/>
        </left>
        <right style="medium">
          <color theme="6"/>
        </right>
        <bottom style="medium">
          <color theme="6"/>
        </bottom>
      </border>
    </dxf>
    <dxf>
      <border>
        <left style="medium">
          <color theme="6"/>
        </left>
        <right style="medium">
          <color theme="6"/>
        </right>
        <bottom style="medium">
          <color theme="6"/>
        </bottom>
      </border>
    </dxf>
    <dxf>
      <border>
        <left style="medium">
          <color theme="6"/>
        </left>
        <right style="medium">
          <color theme="6"/>
        </right>
        <bottom style="medium">
          <color theme="6"/>
        </bottom>
      </border>
    </dxf>
    <dxf>
      <border>
        <left style="thin">
          <color rgb="FF009999"/>
        </left>
        <right style="thin">
          <color rgb="FF009999"/>
        </right>
        <top style="thin">
          <color rgb="FF009999"/>
        </top>
        <bottom style="thin">
          <color rgb="FF009999"/>
        </bottom>
      </border>
    </dxf>
    <dxf>
      <numFmt numFmtId="35" formatCode="_(* #,##0.00_);_(* \(#,##0.00\);_(* &quot;-&quot;??_);_(@_)"/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font>
        <color theme="0"/>
      </font>
      <fill>
        <patternFill patternType="solid">
          <fgColor indexed="64"/>
          <bgColor rgb="FF009999"/>
        </patternFill>
      </fill>
    </dxf>
    <dxf>
      <border>
        <bottom style="medium">
          <color theme="6"/>
        </bottom>
      </border>
    </dxf>
    <dxf>
      <border>
        <bottom style="medium">
          <color theme="6"/>
        </bottom>
      </border>
    </dxf>
    <dxf>
      <border>
        <bottom style="medium">
          <color theme="6"/>
        </bottom>
      </border>
    </dxf>
    <dxf>
      <border>
        <bottom style="medium">
          <color theme="6"/>
        </bottom>
      </border>
    </dxf>
    <dxf>
      <border>
        <bottom style="medium">
          <color theme="6"/>
        </bottom>
      </border>
    </dxf>
    <dxf>
      <border>
        <bottom style="medium">
          <color theme="6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left style="medium">
          <color theme="6"/>
        </left>
        <right style="medium">
          <color theme="6"/>
        </right>
        <top style="medium">
          <color theme="6"/>
        </top>
        <bottom style="medium">
          <color theme="6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9999"/>
        </patternFill>
      </fill>
    </dxf>
    <dxf>
      <fill>
        <patternFill patternType="solid">
          <bgColor rgb="FF009999"/>
        </patternFill>
      </fill>
    </dxf>
    <dxf>
      <fill>
        <patternFill patternType="solid">
          <bgColor rgb="FF009999"/>
        </patternFill>
      </fill>
    </dxf>
    <dxf>
      <fill>
        <patternFill patternType="solid">
          <bgColor rgb="FF009999"/>
        </patternFill>
      </fill>
    </dxf>
    <dxf>
      <border>
        <top style="medium">
          <color theme="6"/>
        </top>
        <bottom style="medium">
          <color theme="6"/>
        </bottom>
      </border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font>
        <color theme="0"/>
      </font>
      <fill>
        <patternFill patternType="solid">
          <fgColor indexed="64"/>
          <bgColor rgb="FF009999"/>
        </patternFill>
      </fill>
    </dxf>
    <dxf>
      <numFmt numFmtId="165" formatCode="_(* #,##0_);_(* \(#,##0\);_(* &quot;-&quot;??_);_(@_)"/>
    </dxf>
    <dxf>
      <font>
        <color theme="0"/>
      </font>
      <fill>
        <patternFill patternType="solid">
          <fgColor indexed="64"/>
          <bgColor rgb="FF009999"/>
        </patternFill>
      </fill>
    </dxf>
    <dxf>
      <border>
        <right style="medium">
          <color theme="6"/>
        </right>
      </border>
    </dxf>
    <dxf>
      <border>
        <right style="medium">
          <color theme="6"/>
        </right>
      </border>
    </dxf>
    <dxf>
      <border>
        <right style="medium">
          <color theme="6"/>
        </right>
      </border>
    </dxf>
    <dxf>
      <border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left style="medium">
          <color theme="6"/>
        </left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ill>
        <patternFill patternType="solid">
          <bgColor rgb="FF009999"/>
        </patternFill>
      </fill>
    </dxf>
    <dxf>
      <fill>
        <patternFill patternType="solid">
          <bgColor rgb="FF009999"/>
        </patternFill>
      </fill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numFmt numFmtId="35" formatCode="_(* #,##0.00_);_(* \(#,##0.00\);_(* &quot;-&quot;??_);_(@_)"/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border>
        <right style="medium">
          <color theme="6"/>
        </right>
        <top style="medium">
          <color theme="6"/>
        </top>
        <bottom style="medium">
          <color theme="6"/>
        </bottom>
      </border>
    </dxf>
    <dxf>
      <font>
        <color theme="0"/>
      </font>
      <fill>
        <patternFill patternType="solid">
          <fgColor indexed="64"/>
          <bgColor rgb="FF009999"/>
        </patternFill>
      </fill>
    </dxf>
    <dxf>
      <border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</border>
    </dxf>
    <dxf>
      <border>
        <left style="medium">
          <color theme="6"/>
        </left>
        <right style="medium">
          <color theme="6"/>
        </right>
        <top style="medium">
          <color theme="6"/>
        </top>
        <bottom style="medium">
          <color theme="6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9999"/>
        </patternFill>
      </fill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numFmt numFmtId="35" formatCode="_(* #,##0.00_);_(* \(#,##0.00\);_(* &quot;-&quot;??_);_(@_)"/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fill>
        <patternFill>
          <bgColor rgb="FF009999"/>
        </patternFill>
      </fill>
    </dxf>
    <dxf>
      <fill>
        <patternFill>
          <bgColor rgb="FF009999"/>
        </patternFill>
      </fill>
    </dxf>
    <dxf>
      <fill>
        <patternFill>
          <bgColor rgb="FF00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266700</xdr:colOff>
      <xdr:row>3</xdr:row>
      <xdr:rowOff>0</xdr:rowOff>
    </xdr:to>
    <xdr:pic>
      <xdr:nvPicPr>
        <xdr:cNvPr id="7302" name="Picture 3" descr="http://i1.tribune.com.pk/wp-content/uploads/2011/10/276195-HBLLOGO-1318883976-349-640x480.jpg">
          <a:extLst>
            <a:ext uri="{FF2B5EF4-FFF2-40B4-BE49-F238E27FC236}">
              <a16:creationId xmlns="" xmlns:a16="http://schemas.microsoft.com/office/drawing/2014/main" id="{CC093625-562C-41AE-992D-96AC8A383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5905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714375</xdr:colOff>
      <xdr:row>3</xdr:row>
      <xdr:rowOff>0</xdr:rowOff>
    </xdr:to>
    <xdr:pic>
      <xdr:nvPicPr>
        <xdr:cNvPr id="3206" name="Picture 3" descr="http://i1.tribune.com.pk/wp-content/uploads/2011/10/276195-HBLLOGO-1318883976-349-640x480.jpg">
          <a:extLst>
            <a:ext uri="{FF2B5EF4-FFF2-40B4-BE49-F238E27FC236}">
              <a16:creationId xmlns="" xmlns:a16="http://schemas.microsoft.com/office/drawing/2014/main" id="{393E3BDD-9A02-49CB-BC9C-953F9DD69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695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609600</xdr:colOff>
      <xdr:row>3</xdr:row>
      <xdr:rowOff>0</xdr:rowOff>
    </xdr:to>
    <xdr:pic>
      <xdr:nvPicPr>
        <xdr:cNvPr id="4230" name="Picture 3" descr="http://i1.tribune.com.pk/wp-content/uploads/2011/10/276195-HBLLOGO-1318883976-349-640x480.jpg">
          <a:extLst>
            <a:ext uri="{FF2B5EF4-FFF2-40B4-BE49-F238E27FC236}">
              <a16:creationId xmlns="" xmlns:a16="http://schemas.microsoft.com/office/drawing/2014/main" id="{D0A64F54-88C0-4A0D-B412-6D9887229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5905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714375</xdr:colOff>
      <xdr:row>3</xdr:row>
      <xdr:rowOff>0</xdr:rowOff>
    </xdr:to>
    <xdr:pic>
      <xdr:nvPicPr>
        <xdr:cNvPr id="5254" name="Picture 3" descr="http://i1.tribune.com.pk/wp-content/uploads/2011/10/276195-HBLLOGO-1318883976-349-640x480.jpg">
          <a:extLst>
            <a:ext uri="{FF2B5EF4-FFF2-40B4-BE49-F238E27FC236}">
              <a16:creationId xmlns="" xmlns:a16="http://schemas.microsoft.com/office/drawing/2014/main" id="{C3A0CAF8-B1DF-4188-89FF-446379D7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695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714375</xdr:colOff>
      <xdr:row>3</xdr:row>
      <xdr:rowOff>0</xdr:rowOff>
    </xdr:to>
    <xdr:pic>
      <xdr:nvPicPr>
        <xdr:cNvPr id="6278" name="Picture 3" descr="http://i1.tribune.com.pk/wp-content/uploads/2011/10/276195-HBLLOGO-1318883976-349-640x480.jpg">
          <a:extLst>
            <a:ext uri="{FF2B5EF4-FFF2-40B4-BE49-F238E27FC236}">
              <a16:creationId xmlns="" xmlns:a16="http://schemas.microsoft.com/office/drawing/2014/main" id="{AE2E6AEC-6759-4940-82E6-EABA107EF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695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YSTEM" refreshedDate="45924.421219675925" missingItemsLimit="0" createdVersion="4" refreshedVersion="5" minRefreshableVersion="3" recordCount="23">
  <cacheSource type="worksheet">
    <worksheetSource name="Table_Query_from_POS"/>
  </cacheSource>
  <cacheFields count="21">
    <cacheField name="Settlement Date" numFmtId="22">
      <sharedItems containsSemiMixedTypes="0" containsNonDate="0" containsDate="1" containsString="0" minDate="2025-09-23T00:00:00" maxDate="2025-09-24T00:00:00"/>
    </cacheField>
    <cacheField name="Merchant ID" numFmtId="0">
      <sharedItems count="1">
        <s v="558600001326800"/>
      </sharedItems>
    </cacheField>
    <cacheField name="Terminal ID" numFmtId="0">
      <sharedItems count="1">
        <s v="MDE"/>
      </sharedItems>
    </cacheField>
    <cacheField name="Merchant Name" numFmtId="0">
      <sharedItems count="1">
        <s v="CAREEM NETWORK PAKIS"/>
      </sharedItems>
    </cacheField>
    <cacheField name="Card Type" numFmtId="0">
      <sharedItems/>
    </cacheField>
    <cacheField name="Card Number" numFmtId="0">
      <sharedItems/>
    </cacheField>
    <cacheField name="Transaction Date" numFmtId="22">
      <sharedItems containsSemiMixedTypes="0" containsNonDate="0" containsDate="1" containsString="0" minDate="2025-09-22T00:00:00" maxDate="2025-09-24T00:00:00" count="2">
        <d v="2025-09-22T00:00:00"/>
        <d v="2025-09-23T00:00:00"/>
      </sharedItems>
    </cacheField>
    <cacheField name="Transaction Time" numFmtId="0">
      <sharedItems/>
    </cacheField>
    <cacheField name="Approval Code" numFmtId="0">
      <sharedItems/>
    </cacheField>
    <cacheField name="Batch Number" numFmtId="0">
      <sharedItems containsSemiMixedTypes="0" containsString="0" containsNumber="1" containsInteger="1" minValue="6109" maxValue="6109"/>
    </cacheField>
    <cacheField name="Transaction Amount" numFmtId="0">
      <sharedItems containsSemiMixedTypes="0" containsString="0" containsNumber="1" minValue="38.44" maxValue="1806.03"/>
    </cacheField>
    <cacheField name="Discount Amount" numFmtId="0">
      <sharedItems containsSemiMixedTypes="0" containsString="0" containsNumber="1" minValue="0.69" maxValue="32.5"/>
    </cacheField>
    <cacheField name="Discount Fixed" numFmtId="0">
      <sharedItems containsSemiMixedTypes="0" containsString="0" containsNumber="1" containsInteger="1" minValue="0" maxValue="0"/>
    </cacheField>
    <cacheField name="FED Amount" numFmtId="0">
      <sharedItems containsSemiMixedTypes="0" containsString="0" containsNumber="1" minValue="0.1" maxValue="4.87"/>
    </cacheField>
    <cacheField name="Debit/Credit" numFmtId="0">
      <sharedItems count="1">
        <s v="C"/>
      </sharedItems>
    </cacheField>
    <cacheField name="Net Amount" numFmtId="0">
      <sharedItems containsSemiMixedTypes="0" containsString="0" containsNumber="1" minValue="37.65" maxValue="1768.66"/>
    </cacheField>
    <cacheField name="Request Id" numFmtId="0">
      <sharedItems/>
    </cacheField>
    <cacheField name="Address " numFmtId="0">
      <sharedItems/>
    </cacheField>
    <cacheField name="Category " numFmtId="0">
      <sharedItems containsNonDate="0" containsString="0" containsBlank="1"/>
    </cacheField>
    <cacheField name="Category Info" numFmtId="0">
      <sharedItems containsNonDate="0" containsString="0" containsBlank="1"/>
    </cacheField>
    <cacheField name="Group Name" numFmtId="0">
      <sharedItems count="1">
        <s v="CAREEM NETWORK PAK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d v="2025-09-23T00:00:00"/>
    <x v="0"/>
    <x v="0"/>
    <x v="0"/>
    <s v="VSA"/>
    <s v="460031******8025"/>
    <x v="0"/>
    <s v="11:19:00"/>
    <s v="086269"/>
    <n v="6109"/>
    <n v="922.54"/>
    <n v="16.600000000000001"/>
    <n v="0"/>
    <n v="2.4900000000000002"/>
    <x v="0"/>
    <n v="903.45"/>
    <s v="7585399746346770404097"/>
    <s v="al tijarah center 12th floor shahra e faisal road karachi"/>
    <m/>
    <m/>
    <x v="0"/>
  </r>
  <r>
    <d v="2025-09-23T00:00:00"/>
    <x v="0"/>
    <x v="0"/>
    <x v="0"/>
    <s v="MCD"/>
    <s v="559049******1524"/>
    <x v="0"/>
    <s v="13:30:00"/>
    <s v="TCX18Y"/>
    <n v="6109"/>
    <n v="991.92"/>
    <n v="17.850000000000001"/>
    <n v="0"/>
    <n v="2.67"/>
    <x v="0"/>
    <n v="971.4"/>
    <s v="7585478239556134804086"/>
    <s v="al tijarah center 12th floor shahra e faisal road karachi"/>
    <m/>
    <m/>
    <x v="0"/>
  </r>
  <r>
    <d v="2025-09-23T00:00:00"/>
    <x v="0"/>
    <x v="0"/>
    <x v="0"/>
    <s v="LCL"/>
    <s v="490288******4115"/>
    <x v="0"/>
    <s v="13:34:00"/>
    <s v="089497"/>
    <n v="6109"/>
    <n v="922.54"/>
    <n v="16.600000000000001"/>
    <n v="0"/>
    <n v="2.4900000000000002"/>
    <x v="0"/>
    <n v="903.45"/>
    <s v="7585480907816168704731"/>
    <s v="al tijarah center 12th floor shahra e faisal road karachi"/>
    <m/>
    <m/>
    <x v="0"/>
  </r>
  <r>
    <d v="2025-09-23T00:00:00"/>
    <x v="0"/>
    <x v="0"/>
    <x v="0"/>
    <s v="VSL"/>
    <s v="493465******2511"/>
    <x v="0"/>
    <s v="14:06:00"/>
    <s v="862746"/>
    <n v="6109"/>
    <n v="922.54"/>
    <n v="16.600000000000001"/>
    <n v="0"/>
    <n v="2.4900000000000002"/>
    <x v="0"/>
    <n v="903.45"/>
    <s v="7585499837176836004715"/>
    <s v="al tijarah center 12th floor shahra e faisal road karachi"/>
    <m/>
    <m/>
    <x v="0"/>
  </r>
  <r>
    <d v="2025-09-23T00:00:00"/>
    <x v="0"/>
    <x v="0"/>
    <x v="0"/>
    <s v="MCL"/>
    <s v="540375******9198"/>
    <x v="0"/>
    <s v="14:18:00"/>
    <s v="231485"/>
    <n v="6109"/>
    <n v="922.54"/>
    <n v="16.600000000000001"/>
    <n v="0"/>
    <n v="2.4900000000000002"/>
    <x v="0"/>
    <n v="903.45"/>
    <s v="7585506942286973904276"/>
    <s v="al tijarah center 12th floor shahra e faisal road karachi"/>
    <m/>
    <m/>
    <x v="0"/>
  </r>
  <r>
    <d v="2025-09-23T00:00:00"/>
    <x v="0"/>
    <x v="0"/>
    <x v="0"/>
    <s v="MCL"/>
    <s v="531199******9891"/>
    <x v="0"/>
    <s v="14:25:00"/>
    <s v="462063"/>
    <n v="6109"/>
    <n v="320"/>
    <n v="5.76"/>
    <n v="0"/>
    <n v="0.86"/>
    <x v="0"/>
    <n v="313.38"/>
    <s v="7585511340816662204066"/>
    <s v="al tijarah center 12th floor shahra e faisal road karachi"/>
    <m/>
    <m/>
    <x v="0"/>
  </r>
  <r>
    <d v="2025-09-23T00:00:00"/>
    <x v="0"/>
    <x v="0"/>
    <x v="0"/>
    <s v="VSL"/>
    <s v="428273******8255"/>
    <x v="0"/>
    <s v="14:49:00"/>
    <s v="149427"/>
    <n v="6109"/>
    <n v="567.19000000000005"/>
    <n v="10.199999999999999"/>
    <n v="0"/>
    <n v="1.53"/>
    <x v="0"/>
    <n v="555.46"/>
    <s v="7585525840136002104094"/>
    <s v="al tijarah center 12th floor shahra e faisal road karachi"/>
    <m/>
    <m/>
    <x v="0"/>
  </r>
  <r>
    <d v="2025-09-23T00:00:00"/>
    <x v="0"/>
    <x v="0"/>
    <x v="0"/>
    <s v="VSL"/>
    <s v="420251******8173"/>
    <x v="0"/>
    <s v="15:04:00"/>
    <s v="722500"/>
    <n v="6109"/>
    <n v="922.54"/>
    <n v="16.600000000000001"/>
    <n v="0"/>
    <n v="2.4900000000000002"/>
    <x v="0"/>
    <n v="903.45"/>
    <s v="7585534515276802404086"/>
    <s v="al tijarah center 12th floor shahra e faisal road karachi"/>
    <m/>
    <m/>
    <x v="0"/>
  </r>
  <r>
    <d v="2025-09-23T00:00:00"/>
    <x v="0"/>
    <x v="0"/>
    <x v="0"/>
    <s v="VSA"/>
    <s v="489022******8213"/>
    <x v="0"/>
    <s v="15:05:00"/>
    <s v="535452"/>
    <n v="6109"/>
    <n v="1806.03"/>
    <n v="32.5"/>
    <n v="0"/>
    <n v="4.87"/>
    <x v="0"/>
    <n v="1768.66"/>
    <s v="7585535468476726504293"/>
    <s v="al tijarah center 12th floor shahra e faisal road karachi"/>
    <m/>
    <m/>
    <x v="0"/>
  </r>
  <r>
    <d v="2025-09-23T00:00:00"/>
    <x v="0"/>
    <x v="0"/>
    <x v="0"/>
    <s v="VSA"/>
    <s v="408565******0124"/>
    <x v="0"/>
    <s v="15:33:00"/>
    <s v="455753"/>
    <n v="6109"/>
    <n v="922.54"/>
    <n v="16.600000000000001"/>
    <n v="0"/>
    <n v="2.4900000000000002"/>
    <x v="0"/>
    <n v="903.45"/>
    <s v="7585551923706305604086"/>
    <s v="al tijarah center 12th floor shahra e faisal road karachi"/>
    <m/>
    <m/>
    <x v="0"/>
  </r>
  <r>
    <d v="2025-09-23T00:00:00"/>
    <x v="0"/>
    <x v="0"/>
    <x v="0"/>
    <s v="VSA"/>
    <s v="408565******0124"/>
    <x v="0"/>
    <s v="15:45:00"/>
    <s v="463208"/>
    <n v="6109"/>
    <n v="922.54"/>
    <n v="16.600000000000001"/>
    <n v="0"/>
    <n v="2.4900000000000002"/>
    <x v="0"/>
    <n v="903.45"/>
    <s v="7585559578276447704064"/>
    <s v="al tijarah center 12th floor shahra e faisal road karachi"/>
    <m/>
    <m/>
    <x v="0"/>
  </r>
  <r>
    <d v="2025-09-23T00:00:00"/>
    <x v="0"/>
    <x v="0"/>
    <x v="0"/>
    <s v="MCD"/>
    <s v="559049******4445"/>
    <x v="0"/>
    <s v="16:19:00"/>
    <s v="C1NBD9"/>
    <n v="6109"/>
    <n v="999.41"/>
    <n v="17.98"/>
    <n v="0"/>
    <n v="2.69"/>
    <x v="0"/>
    <n v="978.74"/>
    <s v="7585579529216029504064"/>
    <s v="al tijarah center 12th floor shahra e faisal road karachi"/>
    <m/>
    <m/>
    <x v="0"/>
  </r>
  <r>
    <d v="2025-09-23T00:00:00"/>
    <x v="0"/>
    <x v="0"/>
    <x v="0"/>
    <s v="MCL"/>
    <s v="524521******8552"/>
    <x v="0"/>
    <s v="16:32:00"/>
    <s v="335676"/>
    <n v="6109"/>
    <n v="922.54"/>
    <n v="16.600000000000001"/>
    <n v="0"/>
    <n v="2.4900000000000002"/>
    <x v="0"/>
    <n v="903.45"/>
    <s v="7585587428136543404714"/>
    <s v="al tijarah center 12th floor shahra e faisal road karachi"/>
    <m/>
    <m/>
    <x v="0"/>
  </r>
  <r>
    <d v="2025-09-23T00:00:00"/>
    <x v="0"/>
    <x v="0"/>
    <x v="0"/>
    <s v="VSA"/>
    <s v="480666******9563"/>
    <x v="0"/>
    <s v="18:52:00"/>
    <s v="640400"/>
    <n v="6109"/>
    <n v="1435.68"/>
    <n v="25.84"/>
    <n v="0"/>
    <n v="3.87"/>
    <x v="0"/>
    <n v="1405.97"/>
    <s v="7585671380506110204075"/>
    <s v="al tijarah center 12th floor shahra e faisal road karachi"/>
    <m/>
    <m/>
    <x v="0"/>
  </r>
  <r>
    <d v="2025-09-23T00:00:00"/>
    <x v="0"/>
    <x v="0"/>
    <x v="0"/>
    <s v="VSA"/>
    <s v="467744******8848"/>
    <x v="0"/>
    <s v="20:22:00"/>
    <s v="892832"/>
    <n v="6109"/>
    <n v="922.54"/>
    <n v="16.600000000000001"/>
    <n v="0"/>
    <n v="2.4900000000000002"/>
    <x v="0"/>
    <n v="903.45"/>
    <s v="7585725206716451504272"/>
    <s v="al tijarah center 12th floor shahra e faisal road karachi"/>
    <m/>
    <m/>
    <x v="0"/>
  </r>
  <r>
    <d v="2025-09-23T00:00:00"/>
    <x v="0"/>
    <x v="0"/>
    <x v="0"/>
    <s v="MCD"/>
    <s v="524243******6755"/>
    <x v="1"/>
    <s v="04:09:00"/>
    <s v="T63845"/>
    <n v="6109"/>
    <n v="1576"/>
    <n v="28.36"/>
    <n v="0"/>
    <n v="4.25"/>
    <x v="0"/>
    <n v="1543.39"/>
    <s v="7586005912036479704080"/>
    <s v="al tijarah center 12th floor shahra e faisal road karachi"/>
    <m/>
    <m/>
    <x v="0"/>
  </r>
  <r>
    <d v="2025-09-23T00:00:00"/>
    <x v="0"/>
    <x v="0"/>
    <x v="0"/>
    <s v="VSA"/>
    <s v="484783******3775"/>
    <x v="1"/>
    <s v="04:57:00"/>
    <s v="100439"/>
    <n v="6109"/>
    <n v="377.5"/>
    <n v="6.79"/>
    <n v="0"/>
    <n v="1.01"/>
    <x v="0"/>
    <n v="369.7"/>
    <s v="7586034199746318304066"/>
    <s v="al tijarah center 12th floor shahra e faisal road karachi"/>
    <m/>
    <m/>
    <x v="0"/>
  </r>
  <r>
    <d v="2025-09-23T00:00:00"/>
    <x v="0"/>
    <x v="0"/>
    <x v="0"/>
    <s v="VSA"/>
    <s v="441358******8231"/>
    <x v="1"/>
    <s v="05:13:00"/>
    <s v="394128"/>
    <n v="6109"/>
    <n v="922.54"/>
    <n v="16.600000000000001"/>
    <n v="0"/>
    <n v="2.4900000000000002"/>
    <x v="0"/>
    <n v="903.45"/>
    <s v="7586043968806827804729"/>
    <s v="al tijarah center 12th floor shahra e faisal road karachi"/>
    <m/>
    <m/>
    <x v="0"/>
  </r>
  <r>
    <d v="2025-09-23T00:00:00"/>
    <x v="0"/>
    <x v="0"/>
    <x v="0"/>
    <s v="MCD"/>
    <s v="517524******8308"/>
    <x v="1"/>
    <s v="05:33:00"/>
    <s v="T70138"/>
    <n v="6109"/>
    <n v="999.41"/>
    <n v="17.98"/>
    <n v="0"/>
    <n v="2.69"/>
    <x v="0"/>
    <n v="978.74"/>
    <s v="7586055904026924604292"/>
    <s v="al tijarah center 12th floor shahra e faisal road karachi"/>
    <m/>
    <m/>
    <x v="0"/>
  </r>
  <r>
    <d v="2025-09-23T00:00:00"/>
    <x v="0"/>
    <x v="0"/>
    <x v="0"/>
    <s v="VSL"/>
    <s v="418792******0194"/>
    <x v="1"/>
    <s v="06:01:00"/>
    <s v="985522"/>
    <n v="6109"/>
    <n v="999.41"/>
    <n v="17.98"/>
    <n v="0"/>
    <n v="2.69"/>
    <x v="0"/>
    <n v="978.74"/>
    <s v="7586072932116615904717"/>
    <s v="al tijarah center 12th floor shahra e faisal road karachi"/>
    <m/>
    <m/>
    <x v="0"/>
  </r>
  <r>
    <d v="2025-09-23T00:00:00"/>
    <x v="0"/>
    <x v="0"/>
    <x v="0"/>
    <s v="MCL"/>
    <s v="555411******3475"/>
    <x v="1"/>
    <s v="06:20:00"/>
    <s v="548612"/>
    <n v="6109"/>
    <n v="38.44"/>
    <n v="0.69"/>
    <n v="0"/>
    <n v="0.1"/>
    <x v="0"/>
    <n v="37.65"/>
    <s v="7586084425256034804070"/>
    <s v="al tijarah center 12th floor shahra e faisal road karachi"/>
    <m/>
    <m/>
    <x v="0"/>
  </r>
  <r>
    <d v="2025-09-23T00:00:00"/>
    <x v="0"/>
    <x v="0"/>
    <x v="0"/>
    <s v="VSA"/>
    <s v="428226******9191"/>
    <x v="1"/>
    <s v="07:17:00"/>
    <s v="042835"/>
    <n v="6109"/>
    <n v="1768.19"/>
    <n v="31.82"/>
    <n v="0"/>
    <n v="4.7699999999999996"/>
    <x v="0"/>
    <n v="1731.6"/>
    <s v="7586118497076208903071"/>
    <s v="al tijarah center 12th floor shahra e faisal road karachi"/>
    <m/>
    <m/>
    <x v="0"/>
  </r>
  <r>
    <d v="2025-09-23T00:00:00"/>
    <x v="0"/>
    <x v="0"/>
    <x v="0"/>
    <s v="MCL"/>
    <s v="557572******4504"/>
    <x v="1"/>
    <s v="08:47:00"/>
    <s v="593550"/>
    <n v="6109"/>
    <n v="218"/>
    <n v="3.92"/>
    <n v="0"/>
    <n v="0.57999999999999996"/>
    <x v="0"/>
    <n v="213.5"/>
    <s v="7586172458456025004713"/>
    <s v="al tijarah center 12th floor shahra e faisal road karachi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2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4" indent="0" outline="1" outlineData="1" multipleFieldFilters="0" rowHeaderCaption="Merchant Number">
  <location ref="E1:E2" firstHeaderRow="1" firstDataRow="1" firstDataCol="1"/>
  <pivotFields count="21">
    <pivotField numFmtId="22" showAll="0" defaultSubtotal="0"/>
    <pivotField showAll="0" defaultSubtotal="0">
      <items count="1">
        <item x="0"/>
      </items>
    </pivotField>
    <pivotField showAll="0" defaultSubtotal="0"/>
    <pivotField showAll="0" defaultSubtotal="0">
      <items count="1">
        <item x="0"/>
      </items>
    </pivotField>
    <pivotField showAll="0" defaultSubtotal="0"/>
    <pivotField showAll="0" defaultSubtotal="0"/>
    <pivotField numFmtId="22" showAll="0" defaultSubtotal="0"/>
    <pivotField showAll="0" defaultSubtotal="0"/>
    <pivotField showAll="0" defaultSubtotal="0"/>
    <pivotField showAll="0" defaultSubtotal="0"/>
    <pivotField name="Transaction Amount2" showAll="0" defaultSubtotal="0"/>
    <pivotField showAll="0" defaultSubtotal="0"/>
    <pivotField showAll="0" defaultSubtotal="0"/>
    <pivotField showAll="0" defaultSubtotal="0"/>
    <pivotField showAll="0" defaultSubtotal="0"/>
    <pivotField name="Net Amount2"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">
        <item x="0"/>
      </items>
    </pivotField>
  </pivotFields>
  <rowFields count="1">
    <field x="20"/>
  </rowFields>
  <rowItems count="1">
    <i>
      <x/>
    </i>
  </rowItems>
  <colItems count="1">
    <i/>
  </colItems>
  <formats count="22">
    <format dxfId="182">
      <pivotArea type="origin" dataOnly="0" labelOnly="1" outline="0" fieldPosition="0"/>
    </format>
    <format dxfId="181">
      <pivotArea field="-2" type="button" dataOnly="0" labelOnly="1" outline="0"/>
    </format>
    <format dxfId="180">
      <pivotArea type="topRight" dataOnly="0" labelOnly="1" outline="0" fieldPosition="0"/>
    </format>
    <format dxfId="179">
      <pivotArea type="all" dataOnly="0" outline="0" collapsedLevelsAreSubtotals="1" fieldPosition="0"/>
    </format>
    <format dxfId="178">
      <pivotArea grandRow="1" outline="0" collapsedLevelsAreSubtotals="1" fieldPosition="0"/>
    </format>
    <format dxfId="177">
      <pivotArea outline="0" collapsedLevelsAreSubtotals="1" fieldPosition="0"/>
    </format>
    <format dxfId="176">
      <pivotArea field="3" type="button" dataOnly="0" labelOnly="1" outline="0"/>
    </format>
    <format dxfId="175">
      <pivotArea dataOnly="0" labelOnly="1" grandRow="1" outline="0" fieldPosition="0"/>
    </format>
    <format dxfId="174">
      <pivotArea field="3" type="button" dataOnly="0" labelOnly="1" outline="0"/>
    </format>
    <format dxfId="173">
      <pivotArea type="origin" dataOnly="0" labelOnly="1" outline="0" fieldPosition="0"/>
    </format>
    <format dxfId="172">
      <pivotArea field="3" type="button" dataOnly="0" labelOnly="1" outline="0"/>
    </format>
    <format dxfId="171">
      <pivotArea field="-2" type="button" dataOnly="0" labelOnly="1" outline="0"/>
    </format>
    <format dxfId="170">
      <pivotArea type="topRight" dataOnly="0" labelOnly="1" outline="0" fieldPosition="0"/>
    </format>
    <format dxfId="169">
      <pivotArea type="all" dataOnly="0" outline="0" collapsedLevelsAreSubtotals="1" fieldPosition="0"/>
    </format>
    <format dxfId="168">
      <pivotArea field="3" type="button" dataOnly="0" labelOnly="1" outline="0"/>
    </format>
    <format dxfId="167">
      <pivotArea type="origin" dataOnly="0" labelOnly="1" outline="0" fieldPosition="0"/>
    </format>
    <format dxfId="166">
      <pivotArea field="3" type="button" dataOnly="0" labelOnly="1" outline="0"/>
    </format>
    <format dxfId="165">
      <pivotArea field="-2" type="button" dataOnly="0" labelOnly="1" outline="0"/>
    </format>
    <format dxfId="164">
      <pivotArea type="topRight" dataOnly="0" labelOnly="1" outline="0" fieldPosition="0"/>
    </format>
    <format dxfId="163">
      <pivotArea field="3" type="button" dataOnly="0" labelOnly="1" outline="0"/>
    </format>
    <format dxfId="162">
      <pivotArea field="1" type="button" dataOnly="0" labelOnly="1" outline="0"/>
    </format>
    <format dxfId="161">
      <pivotArea field="1" type="button" dataOnly="0" labelOnly="1" outline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2" cacheId="32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compact="0" compactData="0" multipleFieldFilters="0" rowHeaderCaption="Merchant Number">
  <location ref="A8:G11" firstHeaderRow="1" firstDataRow="2" firstDataCol="2"/>
  <pivotFields count="21">
    <pivotField compact="0" numFmtId="22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Transaction Amount2" dataField="1"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name="Net Amount2" dataField="1"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3"/>
    <field x="1"/>
  </rowFields>
  <rowItems count="2">
    <i>
      <x/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umber of Transaction" fld="14" subtotal="count" baseField="0" baseItem="0" numFmtId="165"/>
    <dataField name="Transaction Amount" fld="10" baseField="0" baseItem="0"/>
    <dataField name="FED Amount " fld="13" baseField="0" baseItem="0"/>
    <dataField name="Discount Amount " fld="11" baseField="0" baseItem="0"/>
    <dataField name="Net Amount" fld="15" baseField="0" baseItem="0"/>
  </dataFields>
  <formats count="35">
    <format dxfId="160">
      <pivotArea type="origin" dataOnly="0" labelOnly="1" outline="0" fieldPosition="0"/>
    </format>
    <format dxfId="159">
      <pivotArea field="-2" type="button" dataOnly="0" labelOnly="1" outline="0" axis="axisCol" fieldPosition="0"/>
    </format>
    <format dxfId="158">
      <pivotArea type="topRight" dataOnly="0" labelOnly="1" outline="0" fieldPosition="0"/>
    </format>
    <format dxfId="157">
      <pivotArea type="all" dataOnly="0" outline="0" collapsedLevelsAreSubtotals="1" fieldPosition="0"/>
    </format>
    <format dxfId="156">
      <pivotArea grandRow="1" outline="0" collapsedLevelsAreSubtotals="1" fieldPosition="0"/>
    </format>
    <format dxfId="155">
      <pivotArea outline="0" collapsedLevelsAreSubtotals="1" fieldPosition="0"/>
    </format>
    <format dxfId="154">
      <pivotArea field="3" type="button" dataOnly="0" labelOnly="1" outline="0" axis="axisRow" fieldPosition="0"/>
    </format>
    <format dxfId="153">
      <pivotArea dataOnly="0" labelOnly="1" fieldPosition="0">
        <references count="1">
          <reference field="3" count="0"/>
        </references>
      </pivotArea>
    </format>
    <format dxfId="152">
      <pivotArea dataOnly="0" labelOnly="1" grandRow="1" outline="0" fieldPosition="0"/>
    </format>
    <format dxfId="151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50">
      <pivotArea field="3" type="button" dataOnly="0" labelOnly="1" outline="0" axis="axisRow" fieldPosition="0"/>
    </format>
    <format dxfId="149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48">
      <pivotArea dataOnly="0" labelOnly="1" fieldPosition="0">
        <references count="1">
          <reference field="3" count="0"/>
        </references>
      </pivotArea>
    </format>
    <format dxfId="147">
      <pivotArea type="origin" dataOnly="0" labelOnly="1" outline="0" fieldPosition="0"/>
    </format>
    <format dxfId="146">
      <pivotArea field="3" type="button" dataOnly="0" labelOnly="1" outline="0" axis="axisRow" fieldPosition="0"/>
    </format>
    <format dxfId="145">
      <pivotArea field="-2" type="button" dataOnly="0" labelOnly="1" outline="0" axis="axisCol" fieldPosition="0"/>
    </format>
    <format dxfId="144">
      <pivotArea type="topRight" dataOnly="0" labelOnly="1" outline="0" fieldPosition="0"/>
    </format>
    <format dxfId="143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42">
      <pivotArea type="all" dataOnly="0" outline="0" collapsedLevelsAreSubtotals="1" fieldPosition="0"/>
    </format>
    <format dxfId="141">
      <pivotArea field="3" type="button" dataOnly="0" labelOnly="1" outline="0" axis="axisRow" fieldPosition="0"/>
    </format>
    <format dxfId="140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9">
      <pivotArea type="origin" dataOnly="0" labelOnly="1" outline="0" fieldPosition="0"/>
    </format>
    <format dxfId="138">
      <pivotArea field="3" type="button" dataOnly="0" labelOnly="1" outline="0" axis="axisRow" fieldPosition="0"/>
    </format>
    <format dxfId="137">
      <pivotArea field="-2" type="button" dataOnly="0" labelOnly="1" outline="0" axis="axisCol" fieldPosition="0"/>
    </format>
    <format dxfId="136">
      <pivotArea type="topRight" dataOnly="0" labelOnly="1" outline="0" fieldPosition="0"/>
    </format>
    <format dxfId="135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4">
      <pivotArea field="3" type="button" dataOnly="0" labelOnly="1" outline="0" axis="axisRow" fieldPosition="0"/>
    </format>
    <format dxfId="1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field="1" type="button" dataOnly="0" labelOnly="1" outline="0" axis="axisRow" fieldPosition="1"/>
    </format>
    <format dxfId="127">
      <pivotArea field="1" type="button" dataOnly="0" labelOnly="1" outline="0" axis="axisRow" fieldPosition="1"/>
    </format>
    <format dxfId="12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PivotTable3" cacheId="32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compact="0" compactData="0" multipleFieldFilters="0" rowHeaderCaption="Merchant Number">
  <location ref="A8:H11" firstHeaderRow="1" firstDataRow="2" firstDataCol="3"/>
  <pivotFields count="21">
    <pivotField compact="0" numFmtId="22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Transaction Amount2" dataField="1"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name="Net Amount2" dataField="1"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3">
    <field x="3"/>
    <field x="1"/>
    <field x="2"/>
  </rowFields>
  <rowItems count="2">
    <i>
      <x/>
      <x/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umber of Transaction" fld="14" subtotal="count" baseField="0" baseItem="0"/>
    <dataField name="Transaction Amount" fld="10" baseField="0" baseItem="0"/>
    <dataField name="FED Amount " fld="13" baseField="0" baseItem="0"/>
    <dataField name="Discount Amount " fld="11" baseField="0" baseItem="0"/>
    <dataField name="Net Amount" fld="15" baseField="0" baseItem="0"/>
  </dataFields>
  <formats count="26">
    <format dxfId="125">
      <pivotArea field="3" type="button" dataOnly="0" labelOnly="1" outline="0" axis="axisRow" fieldPosition="0"/>
    </format>
    <format dxfId="124">
      <pivotArea field="1" type="button" dataOnly="0" labelOnly="1" outline="0" axis="axisRow" fieldPosition="1"/>
    </format>
    <format dxfId="123">
      <pivotArea field="2" type="button" dataOnly="0" labelOnly="1" outline="0" axis="axisRow" fieldPosition="2"/>
    </format>
    <format dxfId="122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21">
      <pivotArea field="3" type="button" dataOnly="0" labelOnly="1" outline="0" axis="axisRow" fieldPosition="0"/>
    </format>
    <format dxfId="120">
      <pivotArea field="1" type="button" dataOnly="0" labelOnly="1" outline="0" axis="axisRow" fieldPosition="1"/>
    </format>
    <format dxfId="119">
      <pivotArea field="2" type="button" dataOnly="0" labelOnly="1" outline="0" axis="axisRow" fieldPosition="2"/>
    </format>
    <format dxfId="11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17">
      <pivotArea field="3" type="button" dataOnly="0" labelOnly="1" outline="0" axis="axisRow" fieldPosition="0"/>
    </format>
    <format dxfId="116">
      <pivotArea field="1" type="button" dataOnly="0" labelOnly="1" outline="0" axis="axisRow" fieldPosition="1"/>
    </format>
    <format dxfId="115">
      <pivotArea field="2" type="button" dataOnly="0" labelOnly="1" outline="0" axis="axisRow" fieldPosition="2"/>
    </format>
    <format dxfId="1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11">
      <pivotArea outline="0" fieldPosition="0"/>
    </format>
    <format dxfId="110">
      <pivotArea dataOnly="0" labelOnly="1" outline="0" fieldPosition="0">
        <references count="1">
          <reference field="3" count="0"/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2">
          <reference field="1" count="0"/>
          <reference field="3" count="0" selected="0"/>
        </references>
      </pivotArea>
    </format>
    <format dxfId="107">
      <pivotArea dataOnly="0" labelOnly="1" outline="0" fieldPosition="0">
        <references count="3">
          <reference field="1" count="0" selected="0"/>
          <reference field="2" count="0"/>
          <reference field="3" count="0" selected="0"/>
        </references>
      </pivotArea>
    </format>
    <format dxfId="106">
      <pivotArea field="3" type="button" dataOnly="0" labelOnly="1" outline="0" axis="axisRow" fieldPosition="0"/>
    </format>
    <format dxfId="105">
      <pivotArea field="1" type="button" dataOnly="0" labelOnly="1" outline="0" axis="axisRow" fieldPosition="1"/>
    </format>
    <format dxfId="104">
      <pivotArea field="2" type="button" dataOnly="0" labelOnly="1" outline="0" axis="axisRow" fieldPosition="2"/>
    </format>
    <format dxfId="10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PivotTable4" cacheId="32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compact="0" compactData="0" multipleFieldFilters="0" rowHeaderCaption="Merchant Number">
  <location ref="A8:G11" firstHeaderRow="1" firstDataRow="2" firstDataCol="2"/>
  <pivotFields count="21">
    <pivotField compact="0" numFmtId="22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Transaction Amount2" dataField="1"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name="Net Amount2" dataField="1"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3"/>
    <field x="14"/>
  </rowFields>
  <rowItems count="2">
    <i>
      <x/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umber of Transaction" fld="4" subtotal="count" baseField="0" baseItem="0" numFmtId="165"/>
    <dataField name="Transaction Amount" fld="10" baseField="0" baseItem="0"/>
    <dataField name="FED Amount " fld="13" baseField="0" baseItem="0"/>
    <dataField name="Discount Amount " fld="11" baseField="0" baseItem="0"/>
    <dataField name="Net Amount" fld="15" baseField="0" baseItem="0"/>
  </dataFields>
  <formats count="39">
    <format dxfId="99">
      <pivotArea type="origin" dataOnly="0" labelOnly="1" outline="0" fieldPosition="0"/>
    </format>
    <format dxfId="98">
      <pivotArea field="-2" type="button" dataOnly="0" labelOnly="1" outline="0" axis="axisCol" fieldPosition="0"/>
    </format>
    <format dxfId="97">
      <pivotArea type="topRight" dataOnly="0" labelOnly="1" outline="0" fieldPosition="0"/>
    </format>
    <format dxfId="96">
      <pivotArea type="all" dataOnly="0" outline="0" fieldPosition="0"/>
    </format>
    <format dxfId="95">
      <pivotArea type="origin" dataOnly="0" labelOnly="1" outline="0" fieldPosition="0"/>
    </format>
    <format dxfId="94">
      <pivotArea field="-2" type="button" dataOnly="0" labelOnly="1" outline="0" axis="axisCol" fieldPosition="0"/>
    </format>
    <format dxfId="93">
      <pivotArea type="topRight" dataOnly="0" labelOnly="1" outline="0" fieldPosition="0"/>
    </format>
    <format dxfId="92">
      <pivotArea outline="0" fieldPosition="0"/>
    </format>
    <format dxfId="91">
      <pivotArea type="all" dataOnly="0" outline="0" fieldPosition="0"/>
    </format>
    <format dxfId="90">
      <pivotArea type="origin" dataOnly="0" labelOnly="1" outline="0" fieldPosition="0"/>
    </format>
    <format dxfId="89">
      <pivotArea field="-2" type="button" dataOnly="0" labelOnly="1" outline="0" axis="axisCol" fieldPosition="0"/>
    </format>
    <format dxfId="88">
      <pivotArea type="topRight" dataOnly="0" labelOnly="1" outline="0" fieldPosition="0"/>
    </format>
    <format dxfId="87">
      <pivotArea field="3" type="button" dataOnly="0" labelOnly="1" outline="0" axis="axisRow" fieldPosition="0"/>
    </format>
    <format dxfId="86">
      <pivotArea field="14" type="button" dataOnly="0" labelOnly="1" outline="0" axis="axisRow" fieldPosition="1"/>
    </format>
    <format dxfId="85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84">
      <pivotArea field="3" type="button" dataOnly="0" labelOnly="1" outline="0" axis="axisRow" fieldPosition="0"/>
    </format>
    <format dxfId="83">
      <pivotArea field="14" type="button" dataOnly="0" labelOnly="1" outline="0" axis="axisRow" fieldPosition="1"/>
    </format>
    <format dxfId="82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81">
      <pivotArea outline="0" fieldPosition="0"/>
    </format>
    <format dxfId="80">
      <pivotArea dataOnly="0" labelOnly="1" outline="0" fieldPosition="0">
        <references count="1">
          <reference field="3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2">
          <reference field="3" count="0" selected="0"/>
          <reference field="14" count="0"/>
        </references>
      </pivotArea>
    </format>
    <format dxfId="77">
      <pivotArea type="all" dataOnly="0" outline="0" fieldPosition="0"/>
    </format>
    <format dxfId="76">
      <pivotArea field="3" type="button" dataOnly="0" labelOnly="1" outline="0" axis="axisRow" fieldPosition="0"/>
    </format>
    <format dxfId="75">
      <pivotArea field="14" type="button" dataOnly="0" labelOnly="1" outline="0" axis="axisRow" fieldPosition="1"/>
    </format>
    <format dxfId="74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73">
      <pivotArea type="origin" dataOnly="0" labelOnly="1" outline="0" fieldPosition="0"/>
    </format>
    <format dxfId="72">
      <pivotArea field="3" type="button" dataOnly="0" labelOnly="1" outline="0" axis="axisRow" fieldPosition="0"/>
    </format>
    <format dxfId="71">
      <pivotArea field="14" type="button" dataOnly="0" labelOnly="1" outline="0" axis="axisRow" fieldPosition="1"/>
    </format>
    <format dxfId="70">
      <pivotArea field="-2" type="button" dataOnly="0" labelOnly="1" outline="0" axis="axisCol" fieldPosition="0"/>
    </format>
    <format dxfId="69">
      <pivotArea type="topRight" dataOnly="0" labelOnly="1" outline="0" fieldPosition="0"/>
    </format>
    <format dxfId="6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67">
      <pivotArea field="3" type="button" dataOnly="0" labelOnly="1" outline="0" axis="axisRow" fieldPosition="0"/>
    </format>
    <format dxfId="66">
      <pivotArea field="14" type="button" dataOnly="0" labelOnly="1" outline="0" axis="axisRow" fieldPosition="1"/>
    </format>
    <format dxfId="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2">
      <pivotArea outline="0" fieldPosition="0">
        <references count="1">
          <reference field="4294967294" count="1" selected="0">
            <x v="0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PivotTable5" cacheId="32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compact="0" compactData="0" multipleFieldFilters="0" rowHeaderCaption="Merchant Number">
  <location ref="A8:G12" firstHeaderRow="1" firstDataRow="2" firstDataCol="2"/>
  <pivotFields count="21">
    <pivotField compact="0" numFmtId="22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axis="axisRow" compact="0" numFmtId="22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name="Transaction Amount2" dataField="1"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name="Net Amount2" dataField="1"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3"/>
    <field x="6"/>
  </rowFields>
  <rowItems count="3">
    <i>
      <x/>
      <x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umber of Transaction" fld="14" subtotal="count" baseField="0" baseItem="0" numFmtId="165"/>
    <dataField name="Transaction Amount" fld="10" baseField="0" baseItem="0"/>
    <dataField name="FED Amount " fld="13" baseField="0" baseItem="0"/>
    <dataField name="Discount Amount " fld="11" baseField="0" baseItem="0"/>
    <dataField name="Net Amount" fld="15" baseField="0" baseItem="0"/>
  </dataFields>
  <formats count="40">
    <format dxfId="60">
      <pivotArea type="origin" dataOnly="0" labelOnly="1" outline="0" fieldPosition="0"/>
    </format>
    <format dxfId="59">
      <pivotArea field="-2" type="button" dataOnly="0" labelOnly="1" outline="0" axis="axisCol" fieldPosition="0"/>
    </format>
    <format dxfId="58">
      <pivotArea type="topRight" dataOnly="0" labelOnly="1" outline="0" fieldPosition="0"/>
    </format>
    <format dxfId="57">
      <pivotArea type="all" dataOnly="0" outline="0" fieldPosition="0"/>
    </format>
    <format dxfId="56">
      <pivotArea type="origin" dataOnly="0" labelOnly="1" outline="0" fieldPosition="0"/>
    </format>
    <format dxfId="55">
      <pivotArea field="-2" type="button" dataOnly="0" labelOnly="1" outline="0" axis="axisCol" fieldPosition="0"/>
    </format>
    <format dxfId="54">
      <pivotArea type="topRight" dataOnly="0" labelOnly="1" outline="0" fieldPosition="0"/>
    </format>
    <format dxfId="53">
      <pivotArea outline="0" fieldPosition="0"/>
    </format>
    <format dxfId="52">
      <pivotArea type="all" dataOnly="0" outline="0" fieldPosition="0"/>
    </format>
    <format dxfId="51">
      <pivotArea type="origin" dataOnly="0" labelOnly="1" outline="0" fieldPosition="0"/>
    </format>
    <format dxfId="50">
      <pivotArea field="-2" type="button" dataOnly="0" labelOnly="1" outline="0" axis="axisCol" fieldPosition="0"/>
    </format>
    <format dxfId="49">
      <pivotArea type="topRight" dataOnly="0" labelOnly="1" outline="0" fieldPosition="0"/>
    </format>
    <format dxfId="48">
      <pivotArea dataOnly="0" labelOnly="1" grandRow="1" outline="0" fieldPosition="0"/>
    </format>
    <format dxfId="47">
      <pivotArea dataOnly="0" labelOnly="1" outline="0" fieldPosition="0">
        <references count="2">
          <reference field="3" count="0" selected="0"/>
          <reference field="6" count="0"/>
        </references>
      </pivotArea>
    </format>
    <format dxfId="46">
      <pivotArea type="origin" dataOnly="0" labelOnly="1" outline="0" fieldPosition="0"/>
    </format>
    <format dxfId="45">
      <pivotArea field="3" type="button" dataOnly="0" labelOnly="1" outline="0" axis="axisRow" fieldPosition="0"/>
    </format>
    <format dxfId="44">
      <pivotArea field="6" type="button" dataOnly="0" labelOnly="1" outline="0" axis="axisRow" fieldPosition="1"/>
    </format>
    <format dxfId="43">
      <pivotArea field="-2" type="button" dataOnly="0" labelOnly="1" outline="0" axis="axisCol" fieldPosition="0"/>
    </format>
    <format dxfId="42">
      <pivotArea type="topRight" dataOnly="0" labelOnly="1" outline="0" fieldPosition="0"/>
    </format>
    <format dxfId="41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40">
      <pivotArea type="origin" dataOnly="0" labelOnly="1" outline="0" fieldPosition="0"/>
    </format>
    <format dxfId="39">
      <pivotArea field="3" type="button" dataOnly="0" labelOnly="1" outline="0" axis="axisRow" fieldPosition="0"/>
    </format>
    <format dxfId="38">
      <pivotArea field="6" type="button" dataOnly="0" labelOnly="1" outline="0" axis="axisRow" fieldPosition="1"/>
    </format>
    <format dxfId="37">
      <pivotArea field="-2" type="button" dataOnly="0" labelOnly="1" outline="0" axis="axisCol" fieldPosition="0"/>
    </format>
    <format dxfId="36">
      <pivotArea type="topRight" dataOnly="0" labelOnly="1" outline="0" fieldPosition="0"/>
    </format>
    <format dxfId="35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4">
      <pivotArea type="all" dataOnly="0" outline="0" fieldPosition="0"/>
    </format>
    <format dxfId="33">
      <pivotArea type="origin" dataOnly="0" labelOnly="1" outline="0" fieldPosition="0"/>
    </format>
    <format dxfId="32">
      <pivotArea field="-2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6" type="button" dataOnly="0" labelOnly="1" outline="0" axis="axisRow" fieldPosition="1"/>
    </format>
    <format dxfId="29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28">
      <pivotArea field="3" type="button" dataOnly="0" labelOnly="1" outline="0" axis="axisRow" fieldPosition="0"/>
    </format>
    <format dxfId="27">
      <pivotArea field="6" type="button" dataOnly="0" labelOnly="1" outline="0" axis="axisRow" fieldPosition="1"/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outline="0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name="Query from POS" backgroundRefresh="0" connectionId="1" autoFormatId="16" applyNumberFormats="0" applyBorderFormats="0" applyFontFormats="0" applyPatternFormats="0" applyAlignmentFormats="0" applyWidthHeightFormats="0">
  <queryTableRefresh nextId="72">
    <queryTableFields count="21">
      <queryTableField id="39" name="Settlement Date" tableColumnId="39"/>
      <queryTableField id="40" name="Merchant ID" tableColumnId="40"/>
      <queryTableField id="42" name="Terminal ID" tableColumnId="42"/>
      <queryTableField id="41" name="Merchant Name" tableColumnId="41"/>
      <queryTableField id="52" name="Card Type" tableColumnId="52"/>
      <queryTableField id="43" name="Card Number" tableColumnId="43"/>
      <queryTableField id="44" name="Transaction Date" tableColumnId="44"/>
      <queryTableField id="45" name="Transaction Time" tableColumnId="45"/>
      <queryTableField id="51" name="Approval Code" tableColumnId="51"/>
      <queryTableField id="62" name="Batch Number" tableColumnId="56"/>
      <queryTableField id="47" name="Transaction Amount" tableColumnId="47"/>
      <queryTableField id="48" name="Discount Amount" tableColumnId="48"/>
      <queryTableField id="64" name="Discount Fixed" tableColumnId="57"/>
      <queryTableField id="49" name="FED Amount" tableColumnId="49"/>
      <queryTableField id="46" name="Debit/Credit" tableColumnId="46"/>
      <queryTableField id="50" name="Net Amount" tableColumnId="50"/>
      <queryTableField id="69" name="Request Id" tableColumnId="59"/>
      <queryTableField id="53" name="Address " tableColumnId="53"/>
      <queryTableField id="54" name="Category " tableColumnId="54"/>
      <queryTableField id="55" name="Category Info" tableColumnId="55"/>
      <queryTableField id="71" name="Group Name" tableColumnId="1"/>
    </queryTableFields>
    <queryTableDeletedFields count="1">
      <deletedField name="Total Discount Am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_Query_from_POS" displayName="Table_Query_from_POS" ref="A3:U26" tableType="queryTable" totalsRowShown="0">
  <autoFilter ref="A3:U26"/>
  <tableColumns count="21">
    <tableColumn id="39" uniqueName="39" name="Settlement Date" queryTableFieldId="39" dataDxfId="20"/>
    <tableColumn id="40" uniqueName="40" name="Merchant ID" queryTableFieldId="40" dataDxfId="19"/>
    <tableColumn id="42" uniqueName="42" name="Terminal ID" queryTableFieldId="42" dataDxfId="18"/>
    <tableColumn id="41" uniqueName="41" name="Merchant Name" queryTableFieldId="41" dataDxfId="17"/>
    <tableColumn id="52" uniqueName="52" name="Card Type" queryTableFieldId="52" dataDxfId="16"/>
    <tableColumn id="43" uniqueName="43" name="Card Number" queryTableFieldId="43" dataDxfId="15"/>
    <tableColumn id="44" uniqueName="44" name="Transaction Date" queryTableFieldId="44" dataDxfId="14"/>
    <tableColumn id="45" uniqueName="45" name="Transaction Time" queryTableFieldId="45" dataDxfId="13"/>
    <tableColumn id="51" uniqueName="51" name="Approval Code" queryTableFieldId="51" dataDxfId="12"/>
    <tableColumn id="56" uniqueName="56" name="Batch Number" queryTableFieldId="62" dataDxfId="11"/>
    <tableColumn id="47" uniqueName="47" name="Transaction Amount" queryTableFieldId="47" dataDxfId="10"/>
    <tableColumn id="48" uniqueName="48" name="Discount Amount" queryTableFieldId="48" dataDxfId="9"/>
    <tableColumn id="57" uniqueName="57" name="Discount Fixed" queryTableFieldId="64" dataDxfId="8"/>
    <tableColumn id="49" uniqueName="49" name="FED Amount" queryTableFieldId="49" dataDxfId="7"/>
    <tableColumn id="46" uniqueName="46" name="Debit/Credit" queryTableFieldId="46" dataDxfId="6"/>
    <tableColumn id="50" uniqueName="50" name="Net Amount" queryTableFieldId="50" dataDxfId="5"/>
    <tableColumn id="59" uniqueName="59" name="Request Id" queryTableFieldId="69" dataDxfId="4"/>
    <tableColumn id="53" uniqueName="53" name="Address " queryTableFieldId="53" dataDxfId="3"/>
    <tableColumn id="54" uniqueName="54" name="Category " queryTableFieldId="54" dataDxfId="2"/>
    <tableColumn id="55" uniqueName="55" name="Category Info" queryTableFieldId="55" dataDxfId="1"/>
    <tableColumn id="1" uniqueName="1" name="Group Name" queryTableFieldId="7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B3"/>
    </sheetView>
  </sheetViews>
  <sheetFormatPr defaultColWidth="10.140625" defaultRowHeight="15" x14ac:dyDescent="0.25"/>
  <cols>
    <col min="1" max="1" width="5" customWidth="1"/>
    <col min="2" max="2" width="54.5703125" customWidth="1"/>
    <col min="3" max="3" width="11.140625" customWidth="1"/>
    <col min="4" max="4" width="10.7109375" customWidth="1"/>
  </cols>
  <sheetData>
    <row r="1" spans="1:2" x14ac:dyDescent="0.25">
      <c r="A1" s="55" t="str">
        <f>"           Merchant "&amp;Code!A3&amp;" Report: "&amp;IF(Code!E2="(blank)","",Code!E2)</f>
        <v xml:space="preserve">           Merchant IPG Report: CAREEM NETWORK PAKIS</v>
      </c>
      <c r="B1" s="56"/>
    </row>
    <row r="2" spans="1:2" x14ac:dyDescent="0.25">
      <c r="A2" s="57"/>
      <c r="B2" s="58"/>
    </row>
    <row r="3" spans="1:2" ht="11.25" customHeight="1" thickBot="1" x14ac:dyDescent="0.3">
      <c r="A3" s="59"/>
      <c r="B3" s="60"/>
    </row>
    <row r="6" spans="1:2" ht="15.75" thickBot="1" x14ac:dyDescent="0.3"/>
    <row r="7" spans="1:2" ht="15.75" thickBot="1" x14ac:dyDescent="0.3">
      <c r="A7" s="34" t="s">
        <v>0</v>
      </c>
      <c r="B7" s="16"/>
    </row>
    <row r="8" spans="1:2" ht="15.75" thickBot="1" x14ac:dyDescent="0.3"/>
    <row r="9" spans="1:2" ht="15.75" thickBot="1" x14ac:dyDescent="0.3">
      <c r="A9" s="61" t="s">
        <v>1</v>
      </c>
      <c r="B9" s="62"/>
    </row>
    <row r="10" spans="1:2" ht="15.75" thickBot="1" x14ac:dyDescent="0.3"/>
    <row r="11" spans="1:2" ht="15.75" thickBot="1" x14ac:dyDescent="0.3">
      <c r="A11" s="29" t="s">
        <v>2</v>
      </c>
      <c r="B11" s="29" t="s">
        <v>3</v>
      </c>
    </row>
    <row r="12" spans="1:2" x14ac:dyDescent="0.25">
      <c r="A12" s="26">
        <v>1</v>
      </c>
      <c r="B12" s="33" t="s">
        <v>4</v>
      </c>
    </row>
    <row r="13" spans="1:2" x14ac:dyDescent="0.25">
      <c r="A13" s="3">
        <v>2</v>
      </c>
      <c r="B13" s="31" t="s">
        <v>5</v>
      </c>
    </row>
    <row r="14" spans="1:2" x14ac:dyDescent="0.25">
      <c r="A14" s="3">
        <v>3</v>
      </c>
      <c r="B14" s="31" t="s">
        <v>6</v>
      </c>
    </row>
    <row r="15" spans="1:2" x14ac:dyDescent="0.25">
      <c r="A15" s="3">
        <v>4</v>
      </c>
      <c r="B15" s="32" t="s">
        <v>7</v>
      </c>
    </row>
    <row r="16" spans="1:2" x14ac:dyDescent="0.25">
      <c r="A16" s="3">
        <v>5</v>
      </c>
      <c r="B16" s="32" t="s">
        <v>8</v>
      </c>
    </row>
  </sheetData>
  <mergeCells count="2">
    <mergeCell ref="A1:B3"/>
    <mergeCell ref="A9:B9"/>
  </mergeCells>
  <hyperlinks>
    <hyperlink ref="B12" location="'Transaction Data'!A1" display="Transaction Data"/>
    <hyperlink ref="B13" location="'Merchant Number'!A1" display="Merchant Number Wise Summary"/>
    <hyperlink ref="B14" location="'Terminal Number'!A1" display="Merchant Number and Terminal Wise Summary"/>
    <hyperlink ref="B15" location="'Dedbit-Credit'!A1" display="Debit / Credit Summary"/>
    <hyperlink ref="B16" location="Transaction!A1" display="Transaction Dates of Settlement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activeCell="A3" sqref="A3"/>
    </sheetView>
  </sheetViews>
  <sheetFormatPr defaultRowHeight="15" x14ac:dyDescent="0.25"/>
  <cols>
    <col min="1" max="1" width="17.85546875" customWidth="1"/>
    <col min="2" max="2" width="16.140625" customWidth="1"/>
    <col min="3" max="3" width="13.28515625" customWidth="1"/>
    <col min="4" max="4" width="23.7109375" customWidth="1"/>
    <col min="5" max="5" width="11.85546875" customWidth="1"/>
    <col min="6" max="6" width="17.28515625" customWidth="1"/>
    <col min="7" max="7" width="18" customWidth="1"/>
    <col min="8" max="8" width="18.28515625" customWidth="1"/>
    <col min="9" max="9" width="16.28515625" customWidth="1"/>
    <col min="10" max="10" width="15.85546875" customWidth="1"/>
    <col min="11" max="11" width="21.140625" customWidth="1"/>
    <col min="12" max="12" width="18.5703125" customWidth="1"/>
    <col min="13" max="13" width="16.28515625" customWidth="1"/>
    <col min="14" max="14" width="14" customWidth="1"/>
    <col min="15" max="15" width="14.28515625" customWidth="1"/>
    <col min="16" max="16" width="14" customWidth="1"/>
    <col min="17" max="17" width="23.42578125" customWidth="1"/>
    <col min="18" max="18" width="49.28515625" customWidth="1"/>
    <col min="19" max="19" width="11.42578125" customWidth="1"/>
    <col min="20" max="20" width="15" customWidth="1"/>
    <col min="21" max="21" width="23.7109375" customWidth="1"/>
    <col min="23" max="23" width="15.140625" bestFit="1" customWidth="1"/>
    <col min="25" max="25" width="23.85546875" customWidth="1"/>
    <col min="29" max="29" width="12" bestFit="1" customWidth="1"/>
    <col min="30" max="30" width="39.7109375" bestFit="1" customWidth="1"/>
    <col min="31" max="31" width="11.5703125" bestFit="1" customWidth="1"/>
    <col min="32" max="32" width="15.140625" bestFit="1" customWidth="1"/>
    <col min="33" max="33" width="14.140625" bestFit="1" customWidth="1"/>
    <col min="34" max="34" width="19.28515625" bestFit="1" customWidth="1"/>
    <col min="35" max="35" width="17.28515625" bestFit="1" customWidth="1"/>
    <col min="36" max="36" width="13" customWidth="1"/>
    <col min="37" max="37" width="17.28515625" customWidth="1"/>
    <col min="38" max="38" width="17.7109375" customWidth="1"/>
    <col min="39" max="39" width="18" bestFit="1" customWidth="1"/>
    <col min="40" max="40" width="5.7109375" customWidth="1"/>
    <col min="41" max="41" width="20.85546875" bestFit="1" customWidth="1"/>
    <col min="42" max="42" width="25.42578125" bestFit="1" customWidth="1"/>
    <col min="43" max="43" width="6.5703125" customWidth="1"/>
    <col min="44" max="44" width="13.7109375" customWidth="1"/>
    <col min="45" max="45" width="16" bestFit="1" customWidth="1"/>
    <col min="46" max="46" width="11.5703125" bestFit="1" customWidth="1"/>
    <col min="47" max="47" width="39.7109375" bestFit="1" customWidth="1"/>
    <col min="48" max="48" width="11.140625" bestFit="1" customWidth="1"/>
    <col min="49" max="49" width="14.7109375" bestFit="1" customWidth="1"/>
    <col min="50" max="50" width="7.85546875" bestFit="1" customWidth="1"/>
    <col min="51" max="51" width="9" customWidth="1"/>
    <col min="52" max="52" width="5.7109375" bestFit="1" customWidth="1"/>
    <col min="53" max="53" width="20.85546875" bestFit="1" customWidth="1"/>
    <col min="54" max="54" width="16" bestFit="1" customWidth="1"/>
    <col min="55" max="55" width="15" bestFit="1" customWidth="1"/>
    <col min="56" max="56" width="25.42578125" bestFit="1" customWidth="1"/>
    <col min="57" max="57" width="22.85546875" bestFit="1" customWidth="1"/>
    <col min="58" max="58" width="7" customWidth="1"/>
    <col min="59" max="59" width="13.7109375" bestFit="1" customWidth="1"/>
    <col min="60" max="60" width="16" bestFit="1" customWidth="1"/>
    <col min="61" max="61" width="11.5703125" bestFit="1" customWidth="1"/>
    <col min="62" max="62" width="22.28515625" customWidth="1"/>
    <col min="63" max="63" width="11.7109375" customWidth="1"/>
    <col min="64" max="64" width="55.7109375" customWidth="1"/>
    <col min="65" max="65" width="9.42578125" customWidth="1"/>
    <col min="66" max="66" width="14.7109375" customWidth="1"/>
    <col min="67" max="67" width="80.28515625" customWidth="1"/>
    <col min="68" max="68" width="81.140625" customWidth="1"/>
    <col min="69" max="69" width="7.5703125" bestFit="1" customWidth="1"/>
    <col min="70" max="70" width="14.85546875" customWidth="1"/>
  </cols>
  <sheetData>
    <row r="1" spans="1:21" x14ac:dyDescent="0.25">
      <c r="A1" s="63" t="s">
        <v>9</v>
      </c>
      <c r="B1" s="63"/>
      <c r="C1" s="63"/>
      <c r="D1" s="38"/>
    </row>
    <row r="3" spans="1:2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35</v>
      </c>
      <c r="R3" t="s">
        <v>26</v>
      </c>
      <c r="S3" t="s">
        <v>27</v>
      </c>
      <c r="T3" t="s">
        <v>28</v>
      </c>
      <c r="U3" t="s">
        <v>36</v>
      </c>
    </row>
    <row r="4" spans="1:21" x14ac:dyDescent="0.25">
      <c r="A4" s="4">
        <v>45923</v>
      </c>
      <c r="B4" s="3" t="s">
        <v>39</v>
      </c>
      <c r="C4" s="3" t="s">
        <v>41</v>
      </c>
      <c r="D4" s="3" t="s">
        <v>40</v>
      </c>
      <c r="E4" s="3" t="s">
        <v>47</v>
      </c>
      <c r="F4" s="3" t="s">
        <v>49</v>
      </c>
      <c r="G4" s="4">
        <v>45922</v>
      </c>
      <c r="H4" s="3" t="s">
        <v>50</v>
      </c>
      <c r="I4" s="3" t="s">
        <v>51</v>
      </c>
      <c r="J4" s="26">
        <v>6109</v>
      </c>
      <c r="K4" s="3">
        <v>922.54</v>
      </c>
      <c r="L4" s="3">
        <v>16.600000000000001</v>
      </c>
      <c r="M4" s="41">
        <v>0</v>
      </c>
      <c r="N4" s="3">
        <v>2.4900000000000002</v>
      </c>
      <c r="O4" s="3" t="s">
        <v>42</v>
      </c>
      <c r="P4" s="3">
        <v>903.45</v>
      </c>
      <c r="Q4" s="41" t="s">
        <v>52</v>
      </c>
      <c r="R4" s="3" t="s">
        <v>44</v>
      </c>
      <c r="S4" s="3"/>
      <c r="T4" s="3"/>
      <c r="U4" s="41" t="s">
        <v>40</v>
      </c>
    </row>
    <row r="5" spans="1:21" x14ac:dyDescent="0.25">
      <c r="A5" s="4">
        <v>45923</v>
      </c>
      <c r="B5" s="3" t="s">
        <v>39</v>
      </c>
      <c r="C5" s="3" t="s">
        <v>41</v>
      </c>
      <c r="D5" s="3" t="s">
        <v>40</v>
      </c>
      <c r="E5" s="3" t="s">
        <v>45</v>
      </c>
      <c r="F5" s="3" t="s">
        <v>53</v>
      </c>
      <c r="G5" s="4">
        <v>45922</v>
      </c>
      <c r="H5" s="3" t="s">
        <v>54</v>
      </c>
      <c r="I5" s="3" t="s">
        <v>55</v>
      </c>
      <c r="J5" s="26">
        <v>6109</v>
      </c>
      <c r="K5" s="3">
        <v>991.92</v>
      </c>
      <c r="L5" s="3">
        <v>17.850000000000001</v>
      </c>
      <c r="M5" s="41">
        <v>0</v>
      </c>
      <c r="N5" s="3">
        <v>2.67</v>
      </c>
      <c r="O5" s="3" t="s">
        <v>42</v>
      </c>
      <c r="P5" s="3">
        <v>971.4</v>
      </c>
      <c r="Q5" s="41" t="s">
        <v>56</v>
      </c>
      <c r="R5" s="3" t="s">
        <v>44</v>
      </c>
      <c r="S5" s="3"/>
      <c r="T5" s="3"/>
      <c r="U5" s="41" t="s">
        <v>40</v>
      </c>
    </row>
    <row r="6" spans="1:21" x14ac:dyDescent="0.25">
      <c r="A6" s="4">
        <v>45923</v>
      </c>
      <c r="B6" s="3" t="s">
        <v>39</v>
      </c>
      <c r="C6" s="3" t="s">
        <v>41</v>
      </c>
      <c r="D6" s="3" t="s">
        <v>40</v>
      </c>
      <c r="E6" s="3" t="s">
        <v>60</v>
      </c>
      <c r="F6" s="3" t="s">
        <v>57</v>
      </c>
      <c r="G6" s="4">
        <v>45922</v>
      </c>
      <c r="H6" s="3" t="s">
        <v>58</v>
      </c>
      <c r="I6" s="3" t="s">
        <v>59</v>
      </c>
      <c r="J6" s="26">
        <v>6109</v>
      </c>
      <c r="K6" s="3">
        <v>922.54</v>
      </c>
      <c r="L6" s="3">
        <v>16.600000000000001</v>
      </c>
      <c r="M6" s="41">
        <v>0</v>
      </c>
      <c r="N6" s="3">
        <v>2.4900000000000002</v>
      </c>
      <c r="O6" s="3" t="s">
        <v>42</v>
      </c>
      <c r="P6" s="3">
        <v>903.45</v>
      </c>
      <c r="Q6" s="41" t="s">
        <v>61</v>
      </c>
      <c r="R6" s="3" t="s">
        <v>44</v>
      </c>
      <c r="S6" s="3"/>
      <c r="T6" s="3"/>
      <c r="U6" s="41" t="s">
        <v>40</v>
      </c>
    </row>
    <row r="7" spans="1:21" x14ac:dyDescent="0.25">
      <c r="A7" s="4">
        <v>45923</v>
      </c>
      <c r="B7" s="3" t="s">
        <v>39</v>
      </c>
      <c r="C7" s="3" t="s">
        <v>41</v>
      </c>
      <c r="D7" s="3" t="s">
        <v>40</v>
      </c>
      <c r="E7" s="3" t="s">
        <v>43</v>
      </c>
      <c r="F7" s="3" t="s">
        <v>62</v>
      </c>
      <c r="G7" s="4">
        <v>45922</v>
      </c>
      <c r="H7" s="3" t="s">
        <v>63</v>
      </c>
      <c r="I7" s="3" t="s">
        <v>64</v>
      </c>
      <c r="J7" s="26">
        <v>6109</v>
      </c>
      <c r="K7" s="3">
        <v>922.54</v>
      </c>
      <c r="L7" s="3">
        <v>16.600000000000001</v>
      </c>
      <c r="M7" s="41">
        <v>0</v>
      </c>
      <c r="N7" s="3">
        <v>2.4900000000000002</v>
      </c>
      <c r="O7" s="3" t="s">
        <v>42</v>
      </c>
      <c r="P7" s="3">
        <v>903.45</v>
      </c>
      <c r="Q7" s="41" t="s">
        <v>65</v>
      </c>
      <c r="R7" s="3" t="s">
        <v>44</v>
      </c>
      <c r="S7" s="3"/>
      <c r="T7" s="3"/>
      <c r="U7" s="41" t="s">
        <v>40</v>
      </c>
    </row>
    <row r="8" spans="1:21" x14ac:dyDescent="0.25">
      <c r="A8" s="4">
        <v>45923</v>
      </c>
      <c r="B8" s="3" t="s">
        <v>39</v>
      </c>
      <c r="C8" s="3" t="s">
        <v>41</v>
      </c>
      <c r="D8" s="3" t="s">
        <v>40</v>
      </c>
      <c r="E8" s="3" t="s">
        <v>46</v>
      </c>
      <c r="F8" s="3" t="s">
        <v>66</v>
      </c>
      <c r="G8" s="4">
        <v>45922</v>
      </c>
      <c r="H8" s="3" t="s">
        <v>67</v>
      </c>
      <c r="I8" s="3" t="s">
        <v>68</v>
      </c>
      <c r="J8" s="26">
        <v>6109</v>
      </c>
      <c r="K8" s="3">
        <v>922.54</v>
      </c>
      <c r="L8" s="3">
        <v>16.600000000000001</v>
      </c>
      <c r="M8" s="41">
        <v>0</v>
      </c>
      <c r="N8" s="3">
        <v>2.4900000000000002</v>
      </c>
      <c r="O8" s="3" t="s">
        <v>42</v>
      </c>
      <c r="P8" s="3">
        <v>903.45</v>
      </c>
      <c r="Q8" s="41" t="s">
        <v>69</v>
      </c>
      <c r="R8" s="3" t="s">
        <v>44</v>
      </c>
      <c r="S8" s="3"/>
      <c r="T8" s="3"/>
      <c r="U8" s="41" t="s">
        <v>40</v>
      </c>
    </row>
    <row r="9" spans="1:21" x14ac:dyDescent="0.25">
      <c r="A9" s="4">
        <v>45923</v>
      </c>
      <c r="B9" s="3" t="s">
        <v>39</v>
      </c>
      <c r="C9" s="3" t="s">
        <v>41</v>
      </c>
      <c r="D9" s="3" t="s">
        <v>40</v>
      </c>
      <c r="E9" s="3" t="s">
        <v>46</v>
      </c>
      <c r="F9" s="3" t="s">
        <v>70</v>
      </c>
      <c r="G9" s="4">
        <v>45922</v>
      </c>
      <c r="H9" s="3" t="s">
        <v>71</v>
      </c>
      <c r="I9" s="3" t="s">
        <v>72</v>
      </c>
      <c r="J9" s="26">
        <v>6109</v>
      </c>
      <c r="K9" s="3">
        <v>320</v>
      </c>
      <c r="L9" s="3">
        <v>5.76</v>
      </c>
      <c r="M9" s="41">
        <v>0</v>
      </c>
      <c r="N9" s="3">
        <v>0.86</v>
      </c>
      <c r="O9" s="3" t="s">
        <v>42</v>
      </c>
      <c r="P9" s="3">
        <v>313.38</v>
      </c>
      <c r="Q9" s="41" t="s">
        <v>73</v>
      </c>
      <c r="R9" s="3" t="s">
        <v>44</v>
      </c>
      <c r="S9" s="3"/>
      <c r="T9" s="3"/>
      <c r="U9" s="41" t="s">
        <v>40</v>
      </c>
    </row>
    <row r="10" spans="1:21" x14ac:dyDescent="0.25">
      <c r="A10" s="4">
        <v>45923</v>
      </c>
      <c r="B10" s="3" t="s">
        <v>39</v>
      </c>
      <c r="C10" s="3" t="s">
        <v>41</v>
      </c>
      <c r="D10" s="3" t="s">
        <v>40</v>
      </c>
      <c r="E10" s="3" t="s">
        <v>43</v>
      </c>
      <c r="F10" s="3" t="s">
        <v>74</v>
      </c>
      <c r="G10" s="4">
        <v>45922</v>
      </c>
      <c r="H10" s="3" t="s">
        <v>75</v>
      </c>
      <c r="I10" s="3" t="s">
        <v>76</v>
      </c>
      <c r="J10" s="26">
        <v>6109</v>
      </c>
      <c r="K10" s="3">
        <v>567.19000000000005</v>
      </c>
      <c r="L10" s="3">
        <v>10.199999999999999</v>
      </c>
      <c r="M10" s="41">
        <v>0</v>
      </c>
      <c r="N10" s="3">
        <v>1.53</v>
      </c>
      <c r="O10" s="3" t="s">
        <v>42</v>
      </c>
      <c r="P10" s="3">
        <v>555.46</v>
      </c>
      <c r="Q10" s="41" t="s">
        <v>77</v>
      </c>
      <c r="R10" s="3" t="s">
        <v>44</v>
      </c>
      <c r="S10" s="3"/>
      <c r="T10" s="3"/>
      <c r="U10" s="41" t="s">
        <v>40</v>
      </c>
    </row>
    <row r="11" spans="1:21" x14ac:dyDescent="0.25">
      <c r="A11" s="4">
        <v>45923</v>
      </c>
      <c r="B11" s="3" t="s">
        <v>39</v>
      </c>
      <c r="C11" s="3" t="s">
        <v>41</v>
      </c>
      <c r="D11" s="3" t="s">
        <v>40</v>
      </c>
      <c r="E11" s="3" t="s">
        <v>43</v>
      </c>
      <c r="F11" s="3" t="s">
        <v>78</v>
      </c>
      <c r="G11" s="4">
        <v>45922</v>
      </c>
      <c r="H11" s="3" t="s">
        <v>79</v>
      </c>
      <c r="I11" s="3" t="s">
        <v>80</v>
      </c>
      <c r="J11" s="26">
        <v>6109</v>
      </c>
      <c r="K11" s="3">
        <v>922.54</v>
      </c>
      <c r="L11" s="3">
        <v>16.600000000000001</v>
      </c>
      <c r="M11" s="41">
        <v>0</v>
      </c>
      <c r="N11" s="3">
        <v>2.4900000000000002</v>
      </c>
      <c r="O11" s="3" t="s">
        <v>42</v>
      </c>
      <c r="P11" s="3">
        <v>903.45</v>
      </c>
      <c r="Q11" s="41" t="s">
        <v>81</v>
      </c>
      <c r="R11" s="3" t="s">
        <v>44</v>
      </c>
      <c r="S11" s="3"/>
      <c r="T11" s="3"/>
      <c r="U11" s="41" t="s">
        <v>40</v>
      </c>
    </row>
    <row r="12" spans="1:21" x14ac:dyDescent="0.25">
      <c r="A12" s="4">
        <v>45923</v>
      </c>
      <c r="B12" s="3" t="s">
        <v>39</v>
      </c>
      <c r="C12" s="3" t="s">
        <v>41</v>
      </c>
      <c r="D12" s="3" t="s">
        <v>40</v>
      </c>
      <c r="E12" s="3" t="s">
        <v>47</v>
      </c>
      <c r="F12" s="3" t="s">
        <v>82</v>
      </c>
      <c r="G12" s="4">
        <v>45922</v>
      </c>
      <c r="H12" s="3" t="s">
        <v>83</v>
      </c>
      <c r="I12" s="3" t="s">
        <v>84</v>
      </c>
      <c r="J12" s="26">
        <v>6109</v>
      </c>
      <c r="K12" s="3">
        <v>1806.03</v>
      </c>
      <c r="L12" s="3">
        <v>32.5</v>
      </c>
      <c r="M12" s="41">
        <v>0</v>
      </c>
      <c r="N12" s="3">
        <v>4.87</v>
      </c>
      <c r="O12" s="3" t="s">
        <v>42</v>
      </c>
      <c r="P12" s="3">
        <v>1768.66</v>
      </c>
      <c r="Q12" s="41" t="s">
        <v>85</v>
      </c>
      <c r="R12" s="3" t="s">
        <v>44</v>
      </c>
      <c r="S12" s="3"/>
      <c r="T12" s="3"/>
      <c r="U12" s="41" t="s">
        <v>40</v>
      </c>
    </row>
    <row r="13" spans="1:21" x14ac:dyDescent="0.25">
      <c r="A13" s="4">
        <v>45923</v>
      </c>
      <c r="B13" s="3" t="s">
        <v>39</v>
      </c>
      <c r="C13" s="3" t="s">
        <v>41</v>
      </c>
      <c r="D13" s="3" t="s">
        <v>40</v>
      </c>
      <c r="E13" s="3" t="s">
        <v>47</v>
      </c>
      <c r="F13" s="3" t="s">
        <v>86</v>
      </c>
      <c r="G13" s="4">
        <v>45922</v>
      </c>
      <c r="H13" s="3" t="s">
        <v>87</v>
      </c>
      <c r="I13" s="3" t="s">
        <v>88</v>
      </c>
      <c r="J13" s="26">
        <v>6109</v>
      </c>
      <c r="K13" s="3">
        <v>922.54</v>
      </c>
      <c r="L13" s="3">
        <v>16.600000000000001</v>
      </c>
      <c r="M13" s="41">
        <v>0</v>
      </c>
      <c r="N13" s="3">
        <v>2.4900000000000002</v>
      </c>
      <c r="O13" s="3" t="s">
        <v>42</v>
      </c>
      <c r="P13" s="3">
        <v>903.45</v>
      </c>
      <c r="Q13" s="41" t="s">
        <v>89</v>
      </c>
      <c r="R13" s="3" t="s">
        <v>44</v>
      </c>
      <c r="S13" s="3"/>
      <c r="T13" s="3"/>
      <c r="U13" s="41" t="s">
        <v>40</v>
      </c>
    </row>
    <row r="14" spans="1:21" x14ac:dyDescent="0.25">
      <c r="A14" s="4">
        <v>45923</v>
      </c>
      <c r="B14" s="3" t="s">
        <v>39</v>
      </c>
      <c r="C14" s="3" t="s">
        <v>41</v>
      </c>
      <c r="D14" s="3" t="s">
        <v>40</v>
      </c>
      <c r="E14" s="3" t="s">
        <v>47</v>
      </c>
      <c r="F14" s="3" t="s">
        <v>86</v>
      </c>
      <c r="G14" s="4">
        <v>45922</v>
      </c>
      <c r="H14" s="3" t="s">
        <v>90</v>
      </c>
      <c r="I14" s="3" t="s">
        <v>91</v>
      </c>
      <c r="J14" s="26">
        <v>6109</v>
      </c>
      <c r="K14" s="3">
        <v>922.54</v>
      </c>
      <c r="L14" s="3">
        <v>16.600000000000001</v>
      </c>
      <c r="M14" s="41">
        <v>0</v>
      </c>
      <c r="N14" s="3">
        <v>2.4900000000000002</v>
      </c>
      <c r="O14" s="3" t="s">
        <v>42</v>
      </c>
      <c r="P14" s="3">
        <v>903.45</v>
      </c>
      <c r="Q14" s="41" t="s">
        <v>92</v>
      </c>
      <c r="R14" s="3" t="s">
        <v>44</v>
      </c>
      <c r="S14" s="3"/>
      <c r="T14" s="3"/>
      <c r="U14" s="41" t="s">
        <v>40</v>
      </c>
    </row>
    <row r="15" spans="1:21" x14ac:dyDescent="0.25">
      <c r="A15" s="4">
        <v>45923</v>
      </c>
      <c r="B15" s="3" t="s">
        <v>39</v>
      </c>
      <c r="C15" s="3" t="s">
        <v>41</v>
      </c>
      <c r="D15" s="3" t="s">
        <v>40</v>
      </c>
      <c r="E15" s="3" t="s">
        <v>45</v>
      </c>
      <c r="F15" s="3" t="s">
        <v>48</v>
      </c>
      <c r="G15" s="4">
        <v>45922</v>
      </c>
      <c r="H15" s="3" t="s">
        <v>93</v>
      </c>
      <c r="I15" s="3" t="s">
        <v>94</v>
      </c>
      <c r="J15" s="26">
        <v>6109</v>
      </c>
      <c r="K15" s="3">
        <v>999.41</v>
      </c>
      <c r="L15" s="3">
        <v>17.98</v>
      </c>
      <c r="M15" s="41">
        <v>0</v>
      </c>
      <c r="N15" s="3">
        <v>2.69</v>
      </c>
      <c r="O15" s="3" t="s">
        <v>42</v>
      </c>
      <c r="P15" s="3">
        <v>978.74</v>
      </c>
      <c r="Q15" s="41" t="s">
        <v>95</v>
      </c>
      <c r="R15" s="3" t="s">
        <v>44</v>
      </c>
      <c r="S15" s="3"/>
      <c r="T15" s="3"/>
      <c r="U15" s="41" t="s">
        <v>40</v>
      </c>
    </row>
    <row r="16" spans="1:21" x14ac:dyDescent="0.25">
      <c r="A16" s="4">
        <v>45923</v>
      </c>
      <c r="B16" s="3" t="s">
        <v>39</v>
      </c>
      <c r="C16" s="3" t="s">
        <v>41</v>
      </c>
      <c r="D16" s="3" t="s">
        <v>40</v>
      </c>
      <c r="E16" s="3" t="s">
        <v>46</v>
      </c>
      <c r="F16" s="3" t="s">
        <v>96</v>
      </c>
      <c r="G16" s="4">
        <v>45922</v>
      </c>
      <c r="H16" s="3" t="s">
        <v>97</v>
      </c>
      <c r="I16" s="3" t="s">
        <v>98</v>
      </c>
      <c r="J16" s="26">
        <v>6109</v>
      </c>
      <c r="K16" s="3">
        <v>922.54</v>
      </c>
      <c r="L16" s="3">
        <v>16.600000000000001</v>
      </c>
      <c r="M16" s="41">
        <v>0</v>
      </c>
      <c r="N16" s="3">
        <v>2.4900000000000002</v>
      </c>
      <c r="O16" s="3" t="s">
        <v>42</v>
      </c>
      <c r="P16" s="3">
        <v>903.45</v>
      </c>
      <c r="Q16" s="41" t="s">
        <v>99</v>
      </c>
      <c r="R16" s="3" t="s">
        <v>44</v>
      </c>
      <c r="S16" s="3"/>
      <c r="T16" s="3"/>
      <c r="U16" s="41" t="s">
        <v>40</v>
      </c>
    </row>
    <row r="17" spans="1:21" x14ac:dyDescent="0.25">
      <c r="A17" s="4">
        <v>45923</v>
      </c>
      <c r="B17" s="3" t="s">
        <v>39</v>
      </c>
      <c r="C17" s="3" t="s">
        <v>41</v>
      </c>
      <c r="D17" s="3" t="s">
        <v>40</v>
      </c>
      <c r="E17" s="3" t="s">
        <v>47</v>
      </c>
      <c r="F17" s="3" t="s">
        <v>100</v>
      </c>
      <c r="G17" s="4">
        <v>45922</v>
      </c>
      <c r="H17" s="3" t="s">
        <v>101</v>
      </c>
      <c r="I17" s="3" t="s">
        <v>102</v>
      </c>
      <c r="J17" s="26">
        <v>6109</v>
      </c>
      <c r="K17" s="3">
        <v>1435.68</v>
      </c>
      <c r="L17" s="3">
        <v>25.84</v>
      </c>
      <c r="M17" s="41">
        <v>0</v>
      </c>
      <c r="N17" s="3">
        <v>3.87</v>
      </c>
      <c r="O17" s="3" t="s">
        <v>42</v>
      </c>
      <c r="P17" s="3">
        <v>1405.97</v>
      </c>
      <c r="Q17" s="41" t="s">
        <v>103</v>
      </c>
      <c r="R17" s="3" t="s">
        <v>44</v>
      </c>
      <c r="S17" s="3"/>
      <c r="T17" s="3"/>
      <c r="U17" s="41" t="s">
        <v>40</v>
      </c>
    </row>
    <row r="18" spans="1:21" x14ac:dyDescent="0.25">
      <c r="A18" s="4">
        <v>45923</v>
      </c>
      <c r="B18" s="3" t="s">
        <v>39</v>
      </c>
      <c r="C18" s="3" t="s">
        <v>41</v>
      </c>
      <c r="D18" s="3" t="s">
        <v>40</v>
      </c>
      <c r="E18" s="3" t="s">
        <v>47</v>
      </c>
      <c r="F18" s="3" t="s">
        <v>104</v>
      </c>
      <c r="G18" s="4">
        <v>45922</v>
      </c>
      <c r="H18" s="3" t="s">
        <v>105</v>
      </c>
      <c r="I18" s="3" t="s">
        <v>106</v>
      </c>
      <c r="J18" s="41">
        <v>6109</v>
      </c>
      <c r="K18" s="3">
        <v>922.54</v>
      </c>
      <c r="L18" s="3">
        <v>16.600000000000001</v>
      </c>
      <c r="M18" s="41">
        <v>0</v>
      </c>
      <c r="N18" s="3">
        <v>2.4900000000000002</v>
      </c>
      <c r="O18" s="3" t="s">
        <v>42</v>
      </c>
      <c r="P18" s="3">
        <v>903.45</v>
      </c>
      <c r="Q18" s="41" t="s">
        <v>107</v>
      </c>
      <c r="R18" s="3" t="s">
        <v>44</v>
      </c>
      <c r="S18" s="3"/>
      <c r="T18" s="3"/>
      <c r="U18" s="41" t="s">
        <v>40</v>
      </c>
    </row>
    <row r="19" spans="1:21" x14ac:dyDescent="0.25">
      <c r="A19" s="4">
        <v>45923</v>
      </c>
      <c r="B19" s="3" t="s">
        <v>39</v>
      </c>
      <c r="C19" s="3" t="s">
        <v>41</v>
      </c>
      <c r="D19" s="3" t="s">
        <v>40</v>
      </c>
      <c r="E19" s="3" t="s">
        <v>45</v>
      </c>
      <c r="F19" s="3" t="s">
        <v>108</v>
      </c>
      <c r="G19" s="4">
        <v>45923</v>
      </c>
      <c r="H19" s="3" t="s">
        <v>109</v>
      </c>
      <c r="I19" s="3" t="s">
        <v>110</v>
      </c>
      <c r="J19" s="41">
        <v>6109</v>
      </c>
      <c r="K19" s="3">
        <v>1576</v>
      </c>
      <c r="L19" s="3">
        <v>28.36</v>
      </c>
      <c r="M19" s="41">
        <v>0</v>
      </c>
      <c r="N19" s="3">
        <v>4.25</v>
      </c>
      <c r="O19" s="3" t="s">
        <v>42</v>
      </c>
      <c r="P19" s="3">
        <v>1543.39</v>
      </c>
      <c r="Q19" s="41" t="s">
        <v>111</v>
      </c>
      <c r="R19" s="3" t="s">
        <v>44</v>
      </c>
      <c r="S19" s="3"/>
      <c r="T19" s="3"/>
      <c r="U19" s="41" t="s">
        <v>40</v>
      </c>
    </row>
    <row r="20" spans="1:21" x14ac:dyDescent="0.25">
      <c r="A20" s="4">
        <v>45923</v>
      </c>
      <c r="B20" s="3" t="s">
        <v>39</v>
      </c>
      <c r="C20" s="3" t="s">
        <v>41</v>
      </c>
      <c r="D20" s="3" t="s">
        <v>40</v>
      </c>
      <c r="E20" s="3" t="s">
        <v>47</v>
      </c>
      <c r="F20" s="3" t="s">
        <v>112</v>
      </c>
      <c r="G20" s="4">
        <v>45923</v>
      </c>
      <c r="H20" s="3" t="s">
        <v>113</v>
      </c>
      <c r="I20" s="3" t="s">
        <v>114</v>
      </c>
      <c r="J20" s="41">
        <v>6109</v>
      </c>
      <c r="K20" s="3">
        <v>377.5</v>
      </c>
      <c r="L20" s="3">
        <v>6.79</v>
      </c>
      <c r="M20" s="41">
        <v>0</v>
      </c>
      <c r="N20" s="3">
        <v>1.01</v>
      </c>
      <c r="O20" s="3" t="s">
        <v>42</v>
      </c>
      <c r="P20" s="3">
        <v>369.7</v>
      </c>
      <c r="Q20" s="41" t="s">
        <v>115</v>
      </c>
      <c r="R20" s="3" t="s">
        <v>44</v>
      </c>
      <c r="S20" s="3"/>
      <c r="T20" s="3"/>
      <c r="U20" s="41" t="s">
        <v>40</v>
      </c>
    </row>
    <row r="21" spans="1:21" x14ac:dyDescent="0.25">
      <c r="A21" s="4">
        <v>45923</v>
      </c>
      <c r="B21" s="3" t="s">
        <v>39</v>
      </c>
      <c r="C21" s="3" t="s">
        <v>41</v>
      </c>
      <c r="D21" s="3" t="s">
        <v>40</v>
      </c>
      <c r="E21" s="3" t="s">
        <v>47</v>
      </c>
      <c r="F21" s="3" t="s">
        <v>116</v>
      </c>
      <c r="G21" s="4">
        <v>45923</v>
      </c>
      <c r="H21" s="3" t="s">
        <v>117</v>
      </c>
      <c r="I21" s="3" t="s">
        <v>118</v>
      </c>
      <c r="J21" s="41">
        <v>6109</v>
      </c>
      <c r="K21" s="3">
        <v>922.54</v>
      </c>
      <c r="L21" s="3">
        <v>16.600000000000001</v>
      </c>
      <c r="M21" s="41">
        <v>0</v>
      </c>
      <c r="N21" s="3">
        <v>2.4900000000000002</v>
      </c>
      <c r="O21" s="3" t="s">
        <v>42</v>
      </c>
      <c r="P21" s="3">
        <v>903.45</v>
      </c>
      <c r="Q21" s="41" t="s">
        <v>119</v>
      </c>
      <c r="R21" s="3" t="s">
        <v>44</v>
      </c>
      <c r="S21" s="3"/>
      <c r="T21" s="3"/>
      <c r="U21" s="41" t="s">
        <v>40</v>
      </c>
    </row>
    <row r="22" spans="1:21" x14ac:dyDescent="0.25">
      <c r="A22" s="4">
        <v>45923</v>
      </c>
      <c r="B22" s="3" t="s">
        <v>39</v>
      </c>
      <c r="C22" s="3" t="s">
        <v>41</v>
      </c>
      <c r="D22" s="3" t="s">
        <v>40</v>
      </c>
      <c r="E22" s="3" t="s">
        <v>45</v>
      </c>
      <c r="F22" s="3" t="s">
        <v>120</v>
      </c>
      <c r="G22" s="4">
        <v>45923</v>
      </c>
      <c r="H22" s="3" t="s">
        <v>121</v>
      </c>
      <c r="I22" s="3" t="s">
        <v>122</v>
      </c>
      <c r="J22" s="41">
        <v>6109</v>
      </c>
      <c r="K22" s="3">
        <v>999.41</v>
      </c>
      <c r="L22" s="3">
        <v>17.98</v>
      </c>
      <c r="M22" s="41">
        <v>0</v>
      </c>
      <c r="N22" s="3">
        <v>2.69</v>
      </c>
      <c r="O22" s="3" t="s">
        <v>42</v>
      </c>
      <c r="P22" s="3">
        <v>978.74</v>
      </c>
      <c r="Q22" s="41" t="s">
        <v>123</v>
      </c>
      <c r="R22" s="3" t="s">
        <v>44</v>
      </c>
      <c r="S22" s="3"/>
      <c r="T22" s="3"/>
      <c r="U22" s="41" t="s">
        <v>40</v>
      </c>
    </row>
    <row r="23" spans="1:21" x14ac:dyDescent="0.25">
      <c r="A23" s="4">
        <v>45923</v>
      </c>
      <c r="B23" s="3" t="s">
        <v>39</v>
      </c>
      <c r="C23" s="3" t="s">
        <v>41</v>
      </c>
      <c r="D23" s="3" t="s">
        <v>40</v>
      </c>
      <c r="E23" s="3" t="s">
        <v>43</v>
      </c>
      <c r="F23" s="3" t="s">
        <v>124</v>
      </c>
      <c r="G23" s="4">
        <v>45923</v>
      </c>
      <c r="H23" s="3" t="s">
        <v>125</v>
      </c>
      <c r="I23" s="3" t="s">
        <v>126</v>
      </c>
      <c r="J23" s="41">
        <v>6109</v>
      </c>
      <c r="K23" s="3">
        <v>999.41</v>
      </c>
      <c r="L23" s="3">
        <v>17.98</v>
      </c>
      <c r="M23" s="41">
        <v>0</v>
      </c>
      <c r="N23" s="3">
        <v>2.69</v>
      </c>
      <c r="O23" s="3" t="s">
        <v>42</v>
      </c>
      <c r="P23" s="3">
        <v>978.74</v>
      </c>
      <c r="Q23" s="41" t="s">
        <v>127</v>
      </c>
      <c r="R23" s="3" t="s">
        <v>44</v>
      </c>
      <c r="S23" s="3"/>
      <c r="T23" s="3"/>
      <c r="U23" s="41" t="s">
        <v>40</v>
      </c>
    </row>
    <row r="24" spans="1:21" x14ac:dyDescent="0.25">
      <c r="A24" s="4">
        <v>45923</v>
      </c>
      <c r="B24" s="3" t="s">
        <v>39</v>
      </c>
      <c r="C24" s="3" t="s">
        <v>41</v>
      </c>
      <c r="D24" s="3" t="s">
        <v>40</v>
      </c>
      <c r="E24" s="3" t="s">
        <v>46</v>
      </c>
      <c r="F24" s="3" t="s">
        <v>128</v>
      </c>
      <c r="G24" s="4">
        <v>45923</v>
      </c>
      <c r="H24" s="3" t="s">
        <v>129</v>
      </c>
      <c r="I24" s="3" t="s">
        <v>130</v>
      </c>
      <c r="J24" s="41">
        <v>6109</v>
      </c>
      <c r="K24" s="3">
        <v>38.44</v>
      </c>
      <c r="L24" s="3">
        <v>0.69</v>
      </c>
      <c r="M24" s="41">
        <v>0</v>
      </c>
      <c r="N24" s="3">
        <v>0.1</v>
      </c>
      <c r="O24" s="3" t="s">
        <v>42</v>
      </c>
      <c r="P24" s="3">
        <v>37.65</v>
      </c>
      <c r="Q24" s="41" t="s">
        <v>131</v>
      </c>
      <c r="R24" s="3" t="s">
        <v>44</v>
      </c>
      <c r="S24" s="3"/>
      <c r="T24" s="3"/>
      <c r="U24" s="41" t="s">
        <v>40</v>
      </c>
    </row>
    <row r="25" spans="1:21" x14ac:dyDescent="0.25">
      <c r="A25" s="4">
        <v>45923</v>
      </c>
      <c r="B25" s="3" t="s">
        <v>39</v>
      </c>
      <c r="C25" s="3" t="s">
        <v>41</v>
      </c>
      <c r="D25" s="3" t="s">
        <v>40</v>
      </c>
      <c r="E25" s="3" t="s">
        <v>47</v>
      </c>
      <c r="F25" s="3" t="s">
        <v>132</v>
      </c>
      <c r="G25" s="4">
        <v>45923</v>
      </c>
      <c r="H25" s="3" t="s">
        <v>133</v>
      </c>
      <c r="I25" s="3" t="s">
        <v>134</v>
      </c>
      <c r="J25" s="41">
        <v>6109</v>
      </c>
      <c r="K25" s="3">
        <v>1768.19</v>
      </c>
      <c r="L25" s="3">
        <v>31.82</v>
      </c>
      <c r="M25" s="41">
        <v>0</v>
      </c>
      <c r="N25" s="3">
        <v>4.7699999999999996</v>
      </c>
      <c r="O25" s="3" t="s">
        <v>42</v>
      </c>
      <c r="P25" s="3">
        <v>1731.6</v>
      </c>
      <c r="Q25" s="41" t="s">
        <v>135</v>
      </c>
      <c r="R25" s="3" t="s">
        <v>44</v>
      </c>
      <c r="S25" s="3"/>
      <c r="T25" s="3"/>
      <c r="U25" s="41" t="s">
        <v>40</v>
      </c>
    </row>
    <row r="26" spans="1:21" x14ac:dyDescent="0.25">
      <c r="A26" s="77">
        <v>45923</v>
      </c>
      <c r="B26" s="78" t="s">
        <v>39</v>
      </c>
      <c r="C26" s="78" t="s">
        <v>41</v>
      </c>
      <c r="D26" s="78" t="s">
        <v>40</v>
      </c>
      <c r="E26" s="78" t="s">
        <v>46</v>
      </c>
      <c r="F26" s="78" t="s">
        <v>136</v>
      </c>
      <c r="G26" s="77">
        <v>45923</v>
      </c>
      <c r="H26" s="78" t="s">
        <v>137</v>
      </c>
      <c r="I26" s="78" t="s">
        <v>138</v>
      </c>
      <c r="J26" s="41">
        <v>6109</v>
      </c>
      <c r="K26" s="78">
        <v>218</v>
      </c>
      <c r="L26" s="78">
        <v>3.92</v>
      </c>
      <c r="M26" s="41">
        <v>0</v>
      </c>
      <c r="N26" s="78">
        <v>0.57999999999999996</v>
      </c>
      <c r="O26" s="78" t="s">
        <v>42</v>
      </c>
      <c r="P26" s="78">
        <v>213.5</v>
      </c>
      <c r="Q26" s="41" t="s">
        <v>139</v>
      </c>
      <c r="R26" s="78" t="s">
        <v>44</v>
      </c>
      <c r="S26" s="78"/>
      <c r="T26" s="78"/>
      <c r="U26" s="41" t="s">
        <v>40</v>
      </c>
    </row>
  </sheetData>
  <mergeCells count="1">
    <mergeCell ref="A1:C1"/>
  </mergeCells>
  <hyperlinks>
    <hyperlink ref="A1:B1" location="'Contents Detail'!A1" display="Main Menu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2" sqref="E2"/>
    </sheetView>
  </sheetViews>
  <sheetFormatPr defaultRowHeight="15" x14ac:dyDescent="0.25"/>
  <cols>
    <col min="5" max="5" width="23.7109375" customWidth="1"/>
    <col min="6" max="6" width="16.140625" bestFit="1" customWidth="1"/>
  </cols>
  <sheetData>
    <row r="1" spans="1:5" x14ac:dyDescent="0.25">
      <c r="A1" s="1">
        <v>9211</v>
      </c>
      <c r="E1" s="42" t="s">
        <v>37</v>
      </c>
    </row>
    <row r="2" spans="1:5" x14ac:dyDescent="0.25">
      <c r="A2" t="s">
        <v>38</v>
      </c>
      <c r="E2" s="43" t="s">
        <v>40</v>
      </c>
    </row>
    <row r="3" spans="1:5" x14ac:dyDescent="0.25">
      <c r="A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5" sqref="A5:C5"/>
    </sheetView>
  </sheetViews>
  <sheetFormatPr defaultRowHeight="15" x14ac:dyDescent="0.25"/>
  <cols>
    <col min="1" max="1" width="19.85546875" bestFit="1" customWidth="1"/>
    <col min="2" max="2" width="16.140625" customWidth="1"/>
    <col min="3" max="3" width="21.5703125" bestFit="1" customWidth="1"/>
    <col min="4" max="4" width="19" customWidth="1"/>
    <col min="5" max="5" width="12.28515625" customWidth="1"/>
    <col min="6" max="6" width="16.85546875" bestFit="1" customWidth="1"/>
    <col min="7" max="7" width="11.85546875" customWidth="1"/>
  </cols>
  <sheetData>
    <row r="1" spans="1:7" x14ac:dyDescent="0.25">
      <c r="A1" s="64" t="str">
        <f>"           Merchant Report: "&amp;Code!A2</f>
        <v xml:space="preserve">           Merchant Report: CAREEM_NETWORK_PAKIS</v>
      </c>
      <c r="B1" s="65"/>
      <c r="C1" s="65"/>
      <c r="D1" s="66"/>
    </row>
    <row r="2" spans="1:7" x14ac:dyDescent="0.25">
      <c r="A2" s="67"/>
      <c r="B2" s="68"/>
      <c r="C2" s="68"/>
      <c r="D2" s="69"/>
    </row>
    <row r="3" spans="1:7" ht="11.25" customHeight="1" thickBot="1" x14ac:dyDescent="0.3">
      <c r="A3" s="70"/>
      <c r="B3" s="71"/>
      <c r="C3" s="71"/>
      <c r="D3" s="72"/>
    </row>
    <row r="4" spans="1:7" ht="15.75" customHeight="1" x14ac:dyDescent="0.25">
      <c r="A4" s="27"/>
      <c r="B4" s="27"/>
      <c r="C4" s="27"/>
      <c r="D4" s="27"/>
    </row>
    <row r="5" spans="1:7" ht="15.75" customHeight="1" x14ac:dyDescent="0.25">
      <c r="A5" s="63" t="s">
        <v>9</v>
      </c>
      <c r="B5" s="63"/>
      <c r="C5" s="63"/>
      <c r="D5" s="27"/>
    </row>
    <row r="6" spans="1:7" ht="15.75" thickBot="1" x14ac:dyDescent="0.3"/>
    <row r="7" spans="1:7" ht="15.75" thickBot="1" x14ac:dyDescent="0.3">
      <c r="A7" s="61" t="s">
        <v>5</v>
      </c>
      <c r="B7" s="73"/>
      <c r="C7" s="73"/>
      <c r="D7" s="73"/>
      <c r="E7" s="73"/>
      <c r="F7" s="73"/>
      <c r="G7" s="62"/>
    </row>
    <row r="8" spans="1:7" ht="15.75" hidden="1" thickBot="1" x14ac:dyDescent="0.3">
      <c r="A8" s="13"/>
      <c r="B8" s="11"/>
      <c r="C8" s="12" t="s">
        <v>30</v>
      </c>
      <c r="D8" s="13"/>
      <c r="E8" s="7"/>
      <c r="F8" s="7"/>
      <c r="G8" s="11"/>
    </row>
    <row r="9" spans="1:7" ht="15.75" thickBot="1" x14ac:dyDescent="0.3">
      <c r="A9" s="2" t="s">
        <v>13</v>
      </c>
      <c r="B9" s="16" t="s">
        <v>11</v>
      </c>
      <c r="C9" s="39" t="s">
        <v>31</v>
      </c>
      <c r="D9" s="2" t="s">
        <v>20</v>
      </c>
      <c r="E9" s="16" t="s">
        <v>32</v>
      </c>
      <c r="F9" s="16" t="s">
        <v>33</v>
      </c>
      <c r="G9" s="16" t="s">
        <v>25</v>
      </c>
    </row>
    <row r="10" spans="1:7" x14ac:dyDescent="0.25">
      <c r="A10" s="40" t="s">
        <v>40</v>
      </c>
      <c r="B10" s="44" t="s">
        <v>39</v>
      </c>
      <c r="C10" s="35">
        <v>23</v>
      </c>
      <c r="D10" s="48">
        <v>21322.58</v>
      </c>
      <c r="E10" s="48">
        <v>57.47999999999999</v>
      </c>
      <c r="F10" s="48">
        <v>383.67000000000007</v>
      </c>
      <c r="G10" s="49">
        <v>20881.430000000004</v>
      </c>
    </row>
    <row r="11" spans="1:7" x14ac:dyDescent="0.25">
      <c r="A11" s="19" t="s">
        <v>34</v>
      </c>
      <c r="B11" s="20"/>
      <c r="C11" s="36">
        <v>23</v>
      </c>
      <c r="D11" s="9">
        <v>21322.58</v>
      </c>
      <c r="E11" s="9">
        <v>57.47999999999999</v>
      </c>
      <c r="F11" s="9">
        <v>383.67000000000007</v>
      </c>
      <c r="G11" s="10">
        <v>20881.430000000004</v>
      </c>
    </row>
  </sheetData>
  <mergeCells count="3">
    <mergeCell ref="A1:D3"/>
    <mergeCell ref="A5:C5"/>
    <mergeCell ref="A7:G7"/>
  </mergeCells>
  <hyperlinks>
    <hyperlink ref="A5:B5" location="'Contents Detail'!A1" display="Main Menu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5" sqref="A5:C5"/>
    </sheetView>
  </sheetViews>
  <sheetFormatPr defaultRowHeight="15" x14ac:dyDescent="0.25"/>
  <cols>
    <col min="1" max="1" width="18.5703125" bestFit="1" customWidth="1"/>
    <col min="2" max="2" width="16" bestFit="1" customWidth="1"/>
    <col min="3" max="3" width="13.28515625" customWidth="1"/>
    <col min="4" max="4" width="21.5703125" bestFit="1" customWidth="1"/>
    <col min="5" max="5" width="19" bestFit="1" customWidth="1"/>
    <col min="6" max="6" width="12.28515625" customWidth="1"/>
    <col min="7" max="7" width="16.85546875" bestFit="1" customWidth="1"/>
    <col min="8" max="8" width="11.85546875" bestFit="1" customWidth="1"/>
  </cols>
  <sheetData>
    <row r="1" spans="1:8" x14ac:dyDescent="0.25">
      <c r="A1" s="64" t="str">
        <f>"           Merchant Report: "&amp;Code!A2</f>
        <v xml:space="preserve">           Merchant Report: CAREEM_NETWORK_PAKIS</v>
      </c>
      <c r="B1" s="65"/>
      <c r="C1" s="65"/>
      <c r="D1" s="66"/>
    </row>
    <row r="2" spans="1:8" x14ac:dyDescent="0.25">
      <c r="A2" s="67"/>
      <c r="B2" s="68"/>
      <c r="C2" s="68"/>
      <c r="D2" s="69"/>
    </row>
    <row r="3" spans="1:8" ht="11.25" customHeight="1" thickBot="1" x14ac:dyDescent="0.3">
      <c r="A3" s="70"/>
      <c r="B3" s="71"/>
      <c r="C3" s="71"/>
      <c r="D3" s="72"/>
    </row>
    <row r="5" spans="1:8" x14ac:dyDescent="0.25">
      <c r="A5" s="63" t="s">
        <v>9</v>
      </c>
      <c r="B5" s="63"/>
      <c r="C5" s="63"/>
    </row>
    <row r="6" spans="1:8" ht="15.75" thickBot="1" x14ac:dyDescent="0.3"/>
    <row r="7" spans="1:8" ht="15.75" thickBot="1" x14ac:dyDescent="0.3">
      <c r="A7" s="61" t="s">
        <v>6</v>
      </c>
      <c r="B7" s="73"/>
      <c r="C7" s="73"/>
      <c r="D7" s="73"/>
      <c r="E7" s="73"/>
      <c r="F7" s="73"/>
      <c r="G7" s="73"/>
      <c r="H7" s="62"/>
    </row>
    <row r="8" spans="1:8" ht="15.75" hidden="1" thickBot="1" x14ac:dyDescent="0.3">
      <c r="D8" s="25" t="s">
        <v>30</v>
      </c>
    </row>
    <row r="9" spans="1:8" ht="15.75" thickBot="1" x14ac:dyDescent="0.3">
      <c r="A9" s="2" t="s">
        <v>13</v>
      </c>
      <c r="B9" s="16" t="s">
        <v>11</v>
      </c>
      <c r="C9" s="16" t="s">
        <v>12</v>
      </c>
      <c r="D9" s="28" t="s">
        <v>31</v>
      </c>
      <c r="E9" s="16" t="s">
        <v>20</v>
      </c>
      <c r="F9" s="16" t="s">
        <v>32</v>
      </c>
      <c r="G9" s="16" t="s">
        <v>33</v>
      </c>
      <c r="H9" s="28" t="s">
        <v>25</v>
      </c>
    </row>
    <row r="10" spans="1:8" x14ac:dyDescent="0.25">
      <c r="A10" s="3" t="s">
        <v>40</v>
      </c>
      <c r="B10" s="3" t="s">
        <v>39</v>
      </c>
      <c r="C10" s="3" t="s">
        <v>41</v>
      </c>
      <c r="D10" s="51">
        <v>23</v>
      </c>
      <c r="E10" s="48">
        <v>21322.58</v>
      </c>
      <c r="F10" s="48">
        <v>57.47999999999999</v>
      </c>
      <c r="G10" s="48">
        <v>383.67000000000007</v>
      </c>
      <c r="H10" s="49">
        <v>20881.430000000004</v>
      </c>
    </row>
    <row r="11" spans="1:8" x14ac:dyDescent="0.25">
      <c r="A11" s="19" t="s">
        <v>34</v>
      </c>
      <c r="B11" s="30"/>
      <c r="C11" s="20"/>
      <c r="D11" s="52">
        <v>23</v>
      </c>
      <c r="E11" s="46">
        <v>21322.58</v>
      </c>
      <c r="F11" s="46">
        <v>57.47999999999999</v>
      </c>
      <c r="G11" s="46">
        <v>383.67000000000007</v>
      </c>
      <c r="H11" s="47">
        <v>20881.430000000004</v>
      </c>
    </row>
  </sheetData>
  <mergeCells count="3">
    <mergeCell ref="A1:D3"/>
    <mergeCell ref="A5:C5"/>
    <mergeCell ref="A7:H7"/>
  </mergeCells>
  <hyperlinks>
    <hyperlink ref="A5:B5" location="'Contents Detail'!A1" display="Main Menu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5" sqref="A5:C5"/>
    </sheetView>
  </sheetViews>
  <sheetFormatPr defaultRowHeight="15" x14ac:dyDescent="0.25"/>
  <cols>
    <col min="1" max="1" width="18.5703125" bestFit="1" customWidth="1"/>
    <col min="2" max="2" width="14.28515625" customWidth="1"/>
    <col min="3" max="3" width="21.5703125" customWidth="1"/>
    <col min="4" max="4" width="19" bestFit="1" customWidth="1"/>
    <col min="5" max="5" width="12.28515625" customWidth="1"/>
    <col min="6" max="6" width="16.85546875" bestFit="1" customWidth="1"/>
    <col min="7" max="7" width="11.85546875" customWidth="1"/>
  </cols>
  <sheetData>
    <row r="1" spans="1:7" x14ac:dyDescent="0.25">
      <c r="A1" s="64" t="str">
        <f>"           Merchant Report: "&amp;Code!A2</f>
        <v xml:space="preserve">           Merchant Report: CAREEM_NETWORK_PAKIS</v>
      </c>
      <c r="B1" s="65"/>
      <c r="C1" s="65"/>
      <c r="D1" s="66"/>
    </row>
    <row r="2" spans="1:7" x14ac:dyDescent="0.25">
      <c r="A2" s="67"/>
      <c r="B2" s="68"/>
      <c r="C2" s="68"/>
      <c r="D2" s="69"/>
    </row>
    <row r="3" spans="1:7" ht="11.25" customHeight="1" thickBot="1" x14ac:dyDescent="0.3">
      <c r="A3" s="70"/>
      <c r="B3" s="71"/>
      <c r="C3" s="71"/>
      <c r="D3" s="72"/>
    </row>
    <row r="5" spans="1:7" x14ac:dyDescent="0.25">
      <c r="A5" s="63" t="s">
        <v>9</v>
      </c>
      <c r="B5" s="63"/>
      <c r="C5" s="63"/>
    </row>
    <row r="6" spans="1:7" ht="15.75" thickBot="1" x14ac:dyDescent="0.3"/>
    <row r="7" spans="1:7" ht="15.75" thickBot="1" x14ac:dyDescent="0.3">
      <c r="A7" s="74" t="s">
        <v>7</v>
      </c>
      <c r="B7" s="75"/>
      <c r="C7" s="75"/>
      <c r="D7" s="75"/>
      <c r="E7" s="75"/>
      <c r="F7" s="76"/>
    </row>
    <row r="8" spans="1:7" ht="15.75" hidden="1" thickBot="1" x14ac:dyDescent="0.3">
      <c r="A8" s="23"/>
      <c r="B8" s="21"/>
      <c r="C8" s="22" t="s">
        <v>30</v>
      </c>
      <c r="D8" s="23"/>
      <c r="E8" s="24"/>
      <c r="F8" s="24"/>
      <c r="G8" s="21"/>
    </row>
    <row r="9" spans="1:7" ht="15.75" thickBot="1" x14ac:dyDescent="0.3">
      <c r="A9" s="2" t="s">
        <v>13</v>
      </c>
      <c r="B9" s="2" t="s">
        <v>24</v>
      </c>
      <c r="C9" s="50" t="s">
        <v>31</v>
      </c>
      <c r="D9" s="2" t="s">
        <v>20</v>
      </c>
      <c r="E9" s="16" t="s">
        <v>32</v>
      </c>
      <c r="F9" s="16" t="s">
        <v>33</v>
      </c>
      <c r="G9" s="16" t="s">
        <v>25</v>
      </c>
    </row>
    <row r="10" spans="1:7" x14ac:dyDescent="0.25">
      <c r="A10" s="3" t="s">
        <v>40</v>
      </c>
      <c r="B10" s="3" t="s">
        <v>42</v>
      </c>
      <c r="C10" s="35">
        <v>23</v>
      </c>
      <c r="D10" s="17">
        <v>21322.58</v>
      </c>
      <c r="E10" s="17">
        <v>57.47999999999999</v>
      </c>
      <c r="F10" s="17">
        <v>383.67000000000007</v>
      </c>
      <c r="G10" s="18">
        <v>20881.430000000004</v>
      </c>
    </row>
    <row r="11" spans="1:7" x14ac:dyDescent="0.25">
      <c r="A11" s="19" t="s">
        <v>34</v>
      </c>
      <c r="B11" s="20"/>
      <c r="C11" s="36">
        <v>23</v>
      </c>
      <c r="D11" s="9">
        <v>21322.58</v>
      </c>
      <c r="E11" s="9">
        <v>57.47999999999999</v>
      </c>
      <c r="F11" s="9">
        <v>383.67000000000007</v>
      </c>
      <c r="G11" s="10">
        <v>20881.430000000004</v>
      </c>
    </row>
  </sheetData>
  <mergeCells count="3">
    <mergeCell ref="A7:F7"/>
    <mergeCell ref="A1:D3"/>
    <mergeCell ref="A5:C5"/>
  </mergeCells>
  <hyperlinks>
    <hyperlink ref="A5:B5" location="'Contents Detail'!A1" display="Main Menu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A5" sqref="A5:C5"/>
    </sheetView>
  </sheetViews>
  <sheetFormatPr defaultRowHeight="15" x14ac:dyDescent="0.25"/>
  <cols>
    <col min="1" max="1" width="18.5703125" bestFit="1" customWidth="1"/>
    <col min="2" max="2" width="18" customWidth="1"/>
    <col min="3" max="3" width="21.5703125" bestFit="1" customWidth="1"/>
    <col min="4" max="4" width="19" bestFit="1" customWidth="1"/>
    <col min="5" max="5" width="12.28515625" customWidth="1"/>
    <col min="6" max="6" width="16.85546875" bestFit="1" customWidth="1"/>
    <col min="7" max="7" width="11.85546875" customWidth="1"/>
  </cols>
  <sheetData>
    <row r="1" spans="1:7" x14ac:dyDescent="0.25">
      <c r="A1" s="64" t="str">
        <f>"           Merchant Report: "&amp;Code!A2</f>
        <v xml:space="preserve">           Merchant Report: CAREEM_NETWORK_PAKIS</v>
      </c>
      <c r="B1" s="65"/>
      <c r="C1" s="65"/>
      <c r="D1" s="66"/>
    </row>
    <row r="2" spans="1:7" x14ac:dyDescent="0.25">
      <c r="A2" s="67"/>
      <c r="B2" s="68"/>
      <c r="C2" s="68"/>
      <c r="D2" s="69"/>
    </row>
    <row r="3" spans="1:7" ht="11.25" customHeight="1" thickBot="1" x14ac:dyDescent="0.3">
      <c r="A3" s="70"/>
      <c r="B3" s="71"/>
      <c r="C3" s="71"/>
      <c r="D3" s="72"/>
    </row>
    <row r="5" spans="1:7" x14ac:dyDescent="0.25">
      <c r="A5" s="63" t="s">
        <v>9</v>
      </c>
      <c r="B5" s="63"/>
      <c r="C5" s="63"/>
    </row>
    <row r="6" spans="1:7" ht="15.75" thickBot="1" x14ac:dyDescent="0.3"/>
    <row r="7" spans="1:7" ht="15.75" thickBot="1" x14ac:dyDescent="0.3">
      <c r="A7" s="61" t="s">
        <v>16</v>
      </c>
      <c r="B7" s="73"/>
      <c r="C7" s="73"/>
      <c r="D7" s="73"/>
      <c r="E7" s="73"/>
      <c r="F7" s="73"/>
      <c r="G7" s="62"/>
    </row>
    <row r="8" spans="1:7" ht="15.75" hidden="1" thickBot="1" x14ac:dyDescent="0.3">
      <c r="A8" s="13"/>
      <c r="B8" s="11"/>
      <c r="C8" s="12" t="s">
        <v>30</v>
      </c>
      <c r="D8" s="13"/>
      <c r="E8" s="7"/>
      <c r="F8" s="7"/>
      <c r="G8" s="11"/>
    </row>
    <row r="9" spans="1:7" ht="15.75" thickBot="1" x14ac:dyDescent="0.3">
      <c r="A9" s="2" t="s">
        <v>13</v>
      </c>
      <c r="B9" s="5" t="s">
        <v>16</v>
      </c>
      <c r="C9" s="50" t="s">
        <v>31</v>
      </c>
      <c r="D9" s="5" t="s">
        <v>20</v>
      </c>
      <c r="E9" s="16" t="s">
        <v>32</v>
      </c>
      <c r="F9" s="16" t="s">
        <v>33</v>
      </c>
      <c r="G9" s="16" t="s">
        <v>25</v>
      </c>
    </row>
    <row r="10" spans="1:7" x14ac:dyDescent="0.25">
      <c r="A10" s="6" t="s">
        <v>40</v>
      </c>
      <c r="B10" s="54">
        <v>45922</v>
      </c>
      <c r="C10" s="45">
        <v>15</v>
      </c>
      <c r="D10" s="53">
        <v>14423.090000000004</v>
      </c>
      <c r="E10" s="53">
        <v>38.9</v>
      </c>
      <c r="F10" s="53">
        <v>259.52999999999997</v>
      </c>
      <c r="G10" s="8">
        <v>14124.660000000002</v>
      </c>
    </row>
    <row r="11" spans="1:7" x14ac:dyDescent="0.25">
      <c r="A11" s="6"/>
      <c r="B11" s="54">
        <v>45923</v>
      </c>
      <c r="C11" s="45">
        <v>8</v>
      </c>
      <c r="D11" s="53">
        <v>6899.49</v>
      </c>
      <c r="E11" s="53">
        <v>18.579999999999998</v>
      </c>
      <c r="F11" s="53">
        <v>124.14</v>
      </c>
      <c r="G11" s="8">
        <v>6756.7699999999986</v>
      </c>
    </row>
    <row r="12" spans="1:7" x14ac:dyDescent="0.25">
      <c r="A12" s="14" t="s">
        <v>34</v>
      </c>
      <c r="B12" s="15"/>
      <c r="C12" s="37">
        <v>23</v>
      </c>
      <c r="D12" s="9">
        <v>21322.58</v>
      </c>
      <c r="E12" s="9">
        <v>57.47999999999999</v>
      </c>
      <c r="F12" s="9">
        <v>383.67000000000007</v>
      </c>
      <c r="G12" s="10">
        <v>20881.430000000004</v>
      </c>
    </row>
  </sheetData>
  <mergeCells count="3">
    <mergeCell ref="A1:D3"/>
    <mergeCell ref="A5:C5"/>
    <mergeCell ref="A7:G7"/>
  </mergeCells>
  <hyperlinks>
    <hyperlink ref="A5:B5" location="'Contents Detail'!A1" display="Main Men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 Detail</vt:lpstr>
      <vt:lpstr>Transaction Data</vt:lpstr>
      <vt:lpstr>Code</vt:lpstr>
      <vt:lpstr>Merchant Number</vt:lpstr>
      <vt:lpstr>Terminal Number</vt:lpstr>
      <vt:lpstr>Dedbit-Credit</vt:lpstr>
      <vt:lpstr>Transaction</vt:lpstr>
    </vt:vector>
  </TitlesOfParts>
  <Company>HBL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Islahudin Rana</dc:creator>
  <cp:lastModifiedBy>SYSTEM</cp:lastModifiedBy>
  <dcterms:created xsi:type="dcterms:W3CDTF">2015-02-02T12:12:55Z</dcterms:created>
  <dcterms:modified xsi:type="dcterms:W3CDTF">2025-09-24T05:06:33Z</dcterms:modified>
</cp:coreProperties>
</file>